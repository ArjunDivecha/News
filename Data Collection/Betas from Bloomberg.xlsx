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-1\AAA Backup\A Working\News\"/>
    </mc:Choice>
  </mc:AlternateContent>
  <xr:revisionPtr revIDLastSave="0" documentId="13_ncr:1_{98E4B909-9924-48DD-827A-CAB6CBF1ED7D}" xr6:coauthVersionLast="47" xr6:coauthVersionMax="47" xr10:uidLastSave="{00000000-0000-0000-0000-000000000000}"/>
  <bookViews>
    <workbookView xWindow="12495" yWindow="855" windowWidth="28830" windowHeight="18150" xr2:uid="{CE706A1D-43A5-4D6D-8883-AEEF69C276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  <c r="C6" i="1" a="1"/>
  <c r="C6" i="1" s="1"/>
  <c r="C22" i="1" a="1"/>
  <c r="C22" i="1" s="1"/>
  <c r="C8" i="1" a="1"/>
  <c r="C8" i="1" s="1"/>
  <c r="C27" i="1" a="1"/>
  <c r="C27" i="1" s="1"/>
  <c r="C29" i="1" a="1"/>
  <c r="C29" i="1" s="1"/>
  <c r="C24" i="1" a="1"/>
  <c r="C24" i="1" s="1"/>
  <c r="C26" i="1" a="1"/>
  <c r="C26" i="1" s="1"/>
  <c r="C16" i="1" a="1"/>
  <c r="C16" i="1" s="1"/>
  <c r="C15" i="1" a="1"/>
  <c r="C15" i="1" s="1"/>
  <c r="C17" i="1" a="1"/>
  <c r="C17" i="1" s="1"/>
  <c r="C19" i="1" a="1"/>
  <c r="C19" i="1" s="1"/>
  <c r="C7" i="1" a="1"/>
  <c r="C7" i="1" s="1"/>
  <c r="C14" i="1" a="1"/>
  <c r="C14" i="1" s="1"/>
  <c r="C13" i="1" a="1"/>
  <c r="C13" i="1" s="1"/>
  <c r="C21" i="1" a="1"/>
  <c r="C21" i="1" s="1"/>
  <c r="C10" i="1" a="1"/>
  <c r="C10" i="1" s="1"/>
  <c r="C28" i="1" a="1"/>
  <c r="C28" i="1" s="1"/>
  <c r="C20" i="1" a="1"/>
  <c r="C20" i="1" s="1"/>
  <c r="C9" i="1" a="1"/>
  <c r="C9" i="1" s="1"/>
  <c r="C18" i="1" a="1"/>
  <c r="C18" i="1" s="1"/>
  <c r="C25" i="1" a="1"/>
  <c r="C25" i="1" s="1"/>
  <c r="C23" i="1" a="1"/>
  <c r="C23" i="1" s="1"/>
  <c r="C12" i="1" a="1"/>
  <c r="C12" i="1" s="1"/>
  <c r="B5" i="1" a="1"/>
  <c r="B5" i="1" s="1"/>
  <c r="C5" i="1" a="1"/>
  <c r="C5" i="1" s="1"/>
  <c r="B7" i="1" a="1"/>
  <c r="B7" i="1" s="1"/>
  <c r="B10" i="1" a="1"/>
  <c r="B10" i="1" s="1"/>
  <c r="B21" i="1" a="1"/>
  <c r="B21" i="1" s="1"/>
  <c r="B26" i="1" a="1"/>
  <c r="B26" i="1" s="1"/>
  <c r="B25" i="1" a="1"/>
  <c r="B25" i="1" s="1"/>
  <c r="B11" i="1" a="1"/>
  <c r="B11" i="1" s="1"/>
  <c r="B28" i="1" a="1"/>
  <c r="B28" i="1" s="1"/>
  <c r="B23" i="1" a="1"/>
  <c r="B23" i="1" s="1"/>
  <c r="B18" i="1" a="1"/>
  <c r="B18" i="1" s="1"/>
  <c r="B27" i="1" a="1"/>
  <c r="B27" i="1" s="1"/>
  <c r="B15" i="1" a="1"/>
  <c r="B15" i="1" s="1"/>
  <c r="B14" i="1" a="1"/>
  <c r="B14" i="1" s="1"/>
  <c r="B13" i="1" a="1"/>
  <c r="B13" i="1" s="1"/>
  <c r="B24" i="1" a="1"/>
  <c r="B24" i="1" s="1"/>
  <c r="B12" i="1" a="1"/>
  <c r="B12" i="1" s="1"/>
  <c r="B16" i="1" a="1"/>
  <c r="B16" i="1" s="1"/>
  <c r="B8" i="1" a="1"/>
  <c r="B8" i="1" s="1"/>
  <c r="B9" i="1" a="1"/>
  <c r="B9" i="1" s="1"/>
  <c r="B17" i="1" a="1"/>
  <c r="B17" i="1" s="1"/>
  <c r="B19" i="1" a="1"/>
  <c r="B19" i="1" s="1"/>
  <c r="B6" i="1" a="1"/>
  <c r="B6" i="1" s="1"/>
  <c r="B29" i="1" a="1"/>
  <c r="B29" i="1" s="1"/>
  <c r="B20" i="1" a="1"/>
  <c r="B20" i="1" s="1"/>
  <c r="B22" i="1" a="1"/>
  <c r="B22" i="1" s="1"/>
  <c r="C2" i="1" a="1"/>
  <c r="C2" i="1" s="1"/>
  <c r="B2" i="1" a="1"/>
  <c r="B2" i="1" s="1"/>
  <c r="X23" i="1" a="1"/>
  <c r="X23" i="1" s="1"/>
  <c r="X6" i="1" a="1"/>
  <c r="X6" i="1" s="1"/>
  <c r="X28" i="1" a="1"/>
  <c r="X28" i="1" s="1"/>
  <c r="X19" i="1" a="1"/>
  <c r="X19" i="1" s="1"/>
  <c r="X29" i="1" a="1"/>
  <c r="X29" i="1" s="1"/>
  <c r="X16" i="1" a="1"/>
  <c r="X16" i="1" s="1"/>
  <c r="X22" i="1" a="1"/>
  <c r="X22" i="1" s="1"/>
  <c r="X5" i="1" a="1"/>
  <c r="X5" i="1" s="1"/>
  <c r="X27" i="1" a="1"/>
  <c r="X27" i="1" s="1"/>
  <c r="X9" i="1" a="1"/>
  <c r="X9" i="1" s="1"/>
  <c r="X7" i="1" a="1"/>
  <c r="X7" i="1" s="1"/>
  <c r="X10" i="1" a="1"/>
  <c r="X10" i="1" s="1"/>
  <c r="X26" i="1" a="1"/>
  <c r="X26" i="1" s="1"/>
  <c r="X11" i="1" a="1"/>
  <c r="X11" i="1" s="1"/>
  <c r="X12" i="1" a="1"/>
  <c r="X12" i="1" s="1"/>
  <c r="X25" i="1" a="1"/>
  <c r="X25" i="1" s="1"/>
  <c r="X24" i="1" a="1"/>
  <c r="X24" i="1" s="1"/>
  <c r="X20" i="1" a="1"/>
  <c r="X20" i="1" s="1"/>
  <c r="X17" i="1" a="1"/>
  <c r="X17" i="1" s="1"/>
  <c r="X21" i="1" a="1"/>
  <c r="X21" i="1" s="1"/>
  <c r="AA16" i="1" a="1"/>
  <c r="AA16" i="1" s="1"/>
  <c r="AA9" i="1" a="1"/>
  <c r="AA9" i="1" s="1"/>
  <c r="AA23" i="1" a="1"/>
  <c r="AA23" i="1" s="1"/>
  <c r="AA21" i="1" a="1"/>
  <c r="AA21" i="1" s="1"/>
  <c r="AA8" i="1" a="1"/>
  <c r="AA8" i="1" s="1"/>
  <c r="AA14" i="1" a="1"/>
  <c r="AA14" i="1" s="1"/>
  <c r="AA13" i="1" a="1"/>
  <c r="AA13" i="1" s="1"/>
  <c r="AA27" i="1" a="1"/>
  <c r="AA27" i="1" s="1"/>
  <c r="AA12" i="1" a="1"/>
  <c r="AA12" i="1" s="1"/>
  <c r="AA11" i="1" a="1"/>
  <c r="AA11" i="1" s="1"/>
  <c r="AA19" i="1" a="1"/>
  <c r="AA19" i="1" s="1"/>
  <c r="Y18" i="1" a="1"/>
  <c r="Y18" i="1" s="1"/>
  <c r="Y8" i="1" a="1"/>
  <c r="Y8" i="1" s="1"/>
  <c r="Y24" i="1" a="1"/>
  <c r="Y24" i="1" s="1"/>
  <c r="Y12" i="1" a="1"/>
  <c r="Y12" i="1" s="1"/>
  <c r="AB28" i="1" a="1"/>
  <c r="AB28" i="1" s="1"/>
  <c r="AB21" i="1" a="1"/>
  <c r="AB21" i="1" s="1"/>
  <c r="AB11" i="1" a="1"/>
  <c r="AB11" i="1" s="1"/>
  <c r="AB19" i="1" a="1"/>
  <c r="AB19" i="1" s="1"/>
  <c r="AB7" i="1" a="1"/>
  <c r="AB7" i="1" s="1"/>
  <c r="AB14" i="1" a="1"/>
  <c r="AB14" i="1" s="1"/>
  <c r="AB13" i="1" a="1"/>
  <c r="AB13" i="1" s="1"/>
  <c r="AB20" i="1" a="1"/>
  <c r="AB20" i="1" s="1"/>
  <c r="AB15" i="1" a="1"/>
  <c r="AB15" i="1" s="1"/>
  <c r="AB10" i="1" a="1"/>
  <c r="AB10" i="1" s="1"/>
  <c r="AB9" i="1" a="1"/>
  <c r="AB9" i="1" s="1"/>
  <c r="Z9" i="1" a="1"/>
  <c r="Z9" i="1" s="1"/>
  <c r="Z5" i="1" a="1"/>
  <c r="Z5" i="1" s="1"/>
  <c r="Z23" i="1" a="1"/>
  <c r="Z23" i="1" s="1"/>
  <c r="Z11" i="1" a="1"/>
  <c r="Z11" i="1" s="1"/>
  <c r="Z24" i="1" a="1"/>
  <c r="Z24" i="1" s="1"/>
  <c r="Z28" i="1" a="1"/>
  <c r="Z28" i="1" s="1"/>
  <c r="Z21" i="1" a="1"/>
  <c r="Z21" i="1" s="1"/>
  <c r="Z12" i="1" a="1"/>
  <c r="Z12" i="1" s="1"/>
  <c r="Z15" i="1" a="1"/>
  <c r="Z15" i="1" s="1"/>
  <c r="Z17" i="1" a="1"/>
  <c r="Z17" i="1" s="1"/>
  <c r="AA6" i="1" a="1"/>
  <c r="AA6" i="1" s="1"/>
  <c r="AA5" i="1" a="1"/>
  <c r="AA5" i="1" s="1"/>
  <c r="AA26" i="1" a="1"/>
  <c r="AA26" i="1" s="1"/>
  <c r="AA24" i="1" a="1"/>
  <c r="AA24" i="1" s="1"/>
  <c r="Y5" i="1" a="1"/>
  <c r="Y5" i="1" s="1"/>
  <c r="Y14" i="1" a="1"/>
  <c r="Y14" i="1" s="1"/>
  <c r="Y13" i="1" a="1"/>
  <c r="Y13" i="1" s="1"/>
  <c r="Y10" i="1" a="1"/>
  <c r="Y10" i="1" s="1"/>
  <c r="Y7" i="1" a="1"/>
  <c r="Y7" i="1" s="1"/>
  <c r="Y26" i="1" a="1"/>
  <c r="Y26" i="1" s="1"/>
  <c r="Y19" i="1" a="1"/>
  <c r="Y19" i="1" s="1"/>
  <c r="Y17" i="1" a="1"/>
  <c r="Y17" i="1" s="1"/>
  <c r="Y6" i="1" a="1"/>
  <c r="Y6" i="1" s="1"/>
  <c r="Y9" i="1" a="1"/>
  <c r="Y9" i="1" s="1"/>
  <c r="Y15" i="1" a="1"/>
  <c r="Y15" i="1" s="1"/>
  <c r="AB16" i="1" a="1"/>
  <c r="AB16" i="1" s="1"/>
  <c r="AB6" i="1" a="1"/>
  <c r="AB6" i="1" s="1"/>
  <c r="AB12" i="1" a="1"/>
  <c r="AB12" i="1" s="1"/>
  <c r="X18" i="1" a="1"/>
  <c r="X18" i="1" s="1"/>
  <c r="X8" i="1" a="1"/>
  <c r="X8" i="1" s="1"/>
  <c r="AB27" i="1" a="1"/>
  <c r="AB27" i="1" s="1"/>
  <c r="X14" i="1" a="1"/>
  <c r="X14" i="1" s="1"/>
  <c r="X13" i="1" a="1"/>
  <c r="X13" i="1" s="1"/>
  <c r="X15" i="1" a="1"/>
  <c r="X15" i="1" s="1"/>
  <c r="AA10" i="1" a="1"/>
  <c r="AA10" i="1" s="1"/>
  <c r="AA18" i="1" a="1"/>
  <c r="AA18" i="1" s="1"/>
  <c r="AA20" i="1" a="1"/>
  <c r="AA20" i="1" s="1"/>
  <c r="AA7" i="1" a="1"/>
  <c r="AA7" i="1" s="1"/>
  <c r="AA17" i="1" a="1"/>
  <c r="AA17" i="1" s="1"/>
  <c r="AA29" i="1" a="1"/>
  <c r="AA29" i="1" s="1"/>
  <c r="AA15" i="1" a="1"/>
  <c r="AA15" i="1" s="1"/>
  <c r="AA25" i="1" a="1"/>
  <c r="AA25" i="1" s="1"/>
  <c r="AA28" i="1" a="1"/>
  <c r="AA28" i="1" s="1"/>
  <c r="AA22" i="1" a="1"/>
  <c r="AA22" i="1" s="1"/>
  <c r="Y16" i="1" a="1"/>
  <c r="Y16" i="1" s="1"/>
  <c r="Y29" i="1" a="1"/>
  <c r="Y29" i="1" s="1"/>
  <c r="Y22" i="1" a="1"/>
  <c r="Y22" i="1" s="1"/>
  <c r="Y28" i="1" a="1"/>
  <c r="Y28" i="1" s="1"/>
  <c r="Y11" i="1" a="1"/>
  <c r="Y11" i="1" s="1"/>
  <c r="Y27" i="1" a="1"/>
  <c r="Y27" i="1" s="1"/>
  <c r="Y20" i="1" a="1"/>
  <c r="Y20" i="1" s="1"/>
  <c r="Y21" i="1" a="1"/>
  <c r="Y21" i="1" s="1"/>
  <c r="Y23" i="1" a="1"/>
  <c r="Y23" i="1" s="1"/>
  <c r="Y25" i="1" a="1"/>
  <c r="Y25" i="1" s="1"/>
  <c r="Z25" i="1" a="1"/>
  <c r="Z25" i="1" s="1"/>
  <c r="Z10" i="1" a="1"/>
  <c r="Z10" i="1" s="1"/>
  <c r="Z20" i="1" a="1"/>
  <c r="Z20" i="1" s="1"/>
  <c r="Z18" i="1" a="1"/>
  <c r="Z18" i="1" s="1"/>
  <c r="Z7" i="1" a="1"/>
  <c r="Z7" i="1" s="1"/>
  <c r="Z6" i="1" a="1"/>
  <c r="Z6" i="1" s="1"/>
  <c r="Z14" i="1" a="1"/>
  <c r="Z14" i="1" s="1"/>
  <c r="Z13" i="1" a="1"/>
  <c r="Z13" i="1" s="1"/>
  <c r="Z29" i="1" a="1"/>
  <c r="Z29" i="1" s="1"/>
  <c r="Z16" i="1" a="1"/>
  <c r="Z16" i="1" s="1"/>
  <c r="Z22" i="1" a="1"/>
  <c r="Z22" i="1" s="1"/>
  <c r="Z8" i="1" a="1"/>
  <c r="Z8" i="1" s="1"/>
  <c r="Z19" i="1" a="1"/>
  <c r="Z19" i="1" s="1"/>
  <c r="Z26" i="1" a="1"/>
  <c r="Z26" i="1" s="1"/>
  <c r="Z27" i="1" a="1"/>
  <c r="Z27" i="1" s="1"/>
  <c r="AB24" i="1" a="1"/>
  <c r="AB24" i="1" s="1"/>
  <c r="AB25" i="1" a="1"/>
  <c r="AB25" i="1" s="1"/>
  <c r="AB22" i="1" a="1"/>
  <c r="AB22" i="1" s="1"/>
  <c r="AB29" i="1" a="1"/>
  <c r="AB29" i="1" s="1"/>
  <c r="AB18" i="1" a="1"/>
  <c r="AB18" i="1" s="1"/>
  <c r="AB5" i="1" a="1"/>
  <c r="AB5" i="1" s="1"/>
  <c r="AB26" i="1" a="1"/>
  <c r="AB26" i="1" s="1"/>
  <c r="AB23" i="1" a="1"/>
  <c r="AB23" i="1" s="1"/>
  <c r="AB8" i="1" a="1"/>
  <c r="AB8" i="1" s="1"/>
  <c r="AB17" i="1" a="1"/>
  <c r="AB17" i="1" s="1"/>
  <c r="W6" i="1" a="1"/>
  <c r="W6" i="1" s="1"/>
  <c r="W11" i="1" a="1"/>
  <c r="W11" i="1" s="1"/>
  <c r="W25" i="1" a="1"/>
  <c r="W25" i="1" s="1"/>
  <c r="W27" i="1" a="1"/>
  <c r="W27" i="1" s="1"/>
  <c r="W18" i="1" a="1"/>
  <c r="W18" i="1" s="1"/>
  <c r="W19" i="1" a="1"/>
  <c r="W19" i="1" s="1"/>
  <c r="W12" i="1" a="1"/>
  <c r="W12" i="1" s="1"/>
  <c r="W24" i="1" a="1"/>
  <c r="W24" i="1" s="1"/>
  <c r="W5" i="1" a="1"/>
  <c r="W5" i="1" s="1"/>
  <c r="W7" i="1" a="1"/>
  <c r="W7" i="1" s="1"/>
  <c r="U7" i="1" a="1"/>
  <c r="U7" i="1" s="1"/>
  <c r="U23" i="1" a="1"/>
  <c r="U23" i="1" s="1"/>
  <c r="U12" i="1" a="1"/>
  <c r="U12" i="1" s="1"/>
  <c r="U24" i="1" a="1"/>
  <c r="U24" i="1" s="1"/>
  <c r="U11" i="1" a="1"/>
  <c r="U11" i="1" s="1"/>
  <c r="U28" i="1" a="1"/>
  <c r="U28" i="1" s="1"/>
  <c r="U21" i="1" a="1"/>
  <c r="U21" i="1" s="1"/>
  <c r="U22" i="1" a="1"/>
  <c r="U22" i="1" s="1"/>
  <c r="U20" i="1" a="1"/>
  <c r="U20" i="1" s="1"/>
  <c r="U14" i="1" a="1"/>
  <c r="U14" i="1" s="1"/>
  <c r="U13" i="1" a="1"/>
  <c r="U13" i="1" s="1"/>
  <c r="V10" i="1" a="1"/>
  <c r="V10" i="1" s="1"/>
  <c r="V19" i="1" a="1"/>
  <c r="V19" i="1" s="1"/>
  <c r="V11" i="1" a="1"/>
  <c r="V11" i="1" s="1"/>
  <c r="V9" i="1" a="1"/>
  <c r="V9" i="1" s="1"/>
  <c r="V14" i="1" a="1"/>
  <c r="V14" i="1" s="1"/>
  <c r="V13" i="1" a="1"/>
  <c r="V13" i="1" s="1"/>
  <c r="V6" i="1" a="1"/>
  <c r="V6" i="1" s="1"/>
  <c r="V20" i="1" a="1"/>
  <c r="V20" i="1" s="1"/>
  <c r="V26" i="1" a="1"/>
  <c r="V26" i="1" s="1"/>
  <c r="V18" i="1" a="1"/>
  <c r="V18" i="1" s="1"/>
  <c r="V5" i="1" a="1"/>
  <c r="V5" i="1" s="1"/>
  <c r="V24" i="1" a="1"/>
  <c r="V24" i="1" s="1"/>
  <c r="V22" i="1" a="1"/>
  <c r="V22" i="1" s="1"/>
  <c r="V15" i="1" a="1"/>
  <c r="V15" i="1" s="1"/>
  <c r="V21" i="1" a="1"/>
  <c r="V21" i="1" s="1"/>
  <c r="V17" i="1" a="1"/>
  <c r="V17" i="1" s="1"/>
  <c r="V12" i="1" a="1"/>
  <c r="V12" i="1" s="1"/>
  <c r="V29" i="1" a="1"/>
  <c r="V29" i="1" s="1"/>
  <c r="V28" i="1" a="1"/>
  <c r="V28" i="1" s="1"/>
  <c r="V27" i="1" a="1"/>
  <c r="V27" i="1" s="1"/>
  <c r="V8" i="1" a="1"/>
  <c r="V8" i="1" s="1"/>
  <c r="W17" i="1" a="1"/>
  <c r="W17" i="1" s="1"/>
  <c r="W14" i="1" a="1"/>
  <c r="W14" i="1" s="1"/>
  <c r="W13" i="1" a="1"/>
  <c r="W13" i="1" s="1"/>
  <c r="W20" i="1" a="1"/>
  <c r="W20" i="1" s="1"/>
  <c r="W22" i="1" a="1"/>
  <c r="W22" i="1" s="1"/>
  <c r="T7" i="1" a="1"/>
  <c r="T7" i="1" s="1"/>
  <c r="T8" i="1" a="1"/>
  <c r="T8" i="1" s="1"/>
  <c r="T24" i="1" a="1"/>
  <c r="T24" i="1" s="1"/>
  <c r="T28" i="1" a="1"/>
  <c r="T28" i="1" s="1"/>
  <c r="T19" i="1" a="1"/>
  <c r="T19" i="1" s="1"/>
  <c r="T18" i="1" a="1"/>
  <c r="T18" i="1" s="1"/>
  <c r="T22" i="1" a="1"/>
  <c r="T22" i="1" s="1"/>
  <c r="T27" i="1" a="1"/>
  <c r="T27" i="1" s="1"/>
  <c r="T10" i="1" a="1"/>
  <c r="T10" i="1" s="1"/>
  <c r="T29" i="1" a="1"/>
  <c r="T29" i="1" s="1"/>
  <c r="W23" i="1" a="1"/>
  <c r="W23" i="1" s="1"/>
  <c r="W29" i="1" a="1"/>
  <c r="W29" i="1" s="1"/>
  <c r="W28" i="1" a="1"/>
  <c r="W28" i="1" s="1"/>
  <c r="W26" i="1" a="1"/>
  <c r="W26" i="1" s="1"/>
  <c r="W10" i="1" a="1"/>
  <c r="W10" i="1" s="1"/>
  <c r="W21" i="1" a="1"/>
  <c r="W21" i="1" s="1"/>
  <c r="W9" i="1" a="1"/>
  <c r="W9" i="1" s="1"/>
  <c r="W15" i="1" a="1"/>
  <c r="W15" i="1" s="1"/>
  <c r="W16" i="1" a="1"/>
  <c r="W16" i="1" s="1"/>
  <c r="W8" i="1" a="1"/>
  <c r="W8" i="1" s="1"/>
  <c r="R24" i="1" a="1"/>
  <c r="R24" i="1" s="1"/>
  <c r="R20" i="1" a="1"/>
  <c r="R20" i="1" s="1"/>
  <c r="R28" i="1" a="1"/>
  <c r="R28" i="1" s="1"/>
  <c r="R18" i="1" a="1"/>
  <c r="R18" i="1" s="1"/>
  <c r="R19" i="1" a="1"/>
  <c r="R19" i="1" s="1"/>
  <c r="R8" i="1" a="1"/>
  <c r="R8" i="1" s="1"/>
  <c r="R15" i="1" a="1"/>
  <c r="R15" i="1" s="1"/>
  <c r="R29" i="1" a="1"/>
  <c r="R29" i="1" s="1"/>
  <c r="R14" i="1" a="1"/>
  <c r="R14" i="1" s="1"/>
  <c r="R13" i="1" a="1"/>
  <c r="R13" i="1" s="1"/>
  <c r="R21" i="1" a="1"/>
  <c r="R21" i="1" s="1"/>
  <c r="S28" i="1" a="1"/>
  <c r="S28" i="1" s="1"/>
  <c r="S7" i="1" a="1"/>
  <c r="S7" i="1" s="1"/>
  <c r="S22" i="1" a="1"/>
  <c r="S22" i="1" s="1"/>
  <c r="S24" i="1" a="1"/>
  <c r="S24" i="1" s="1"/>
  <c r="S15" i="1" a="1"/>
  <c r="S15" i="1" s="1"/>
  <c r="S29" i="1" a="1"/>
  <c r="S29" i="1" s="1"/>
  <c r="S9" i="1" a="1"/>
  <c r="S9" i="1" s="1"/>
  <c r="S14" i="1" a="1"/>
  <c r="S14" i="1" s="1"/>
  <c r="S13" i="1" a="1"/>
  <c r="S13" i="1" s="1"/>
  <c r="S26" i="1" a="1"/>
  <c r="S26" i="1" s="1"/>
  <c r="S12" i="1" a="1"/>
  <c r="S12" i="1" s="1"/>
  <c r="U5" i="1" a="1"/>
  <c r="U5" i="1" s="1"/>
  <c r="U15" i="1" a="1"/>
  <c r="U15" i="1" s="1"/>
  <c r="U26" i="1" a="1"/>
  <c r="U26" i="1" s="1"/>
  <c r="U9" i="1" a="1"/>
  <c r="U9" i="1" s="1"/>
  <c r="S20" i="1" a="1"/>
  <c r="S20" i="1" s="1"/>
  <c r="S10" i="1" a="1"/>
  <c r="S10" i="1" s="1"/>
  <c r="S8" i="1" a="1"/>
  <c r="S8" i="1" s="1"/>
  <c r="S18" i="1" a="1"/>
  <c r="S18" i="1" s="1"/>
  <c r="S16" i="1" a="1"/>
  <c r="S16" i="1" s="1"/>
  <c r="S25" i="1" a="1"/>
  <c r="S25" i="1" s="1"/>
  <c r="S5" i="1" a="1"/>
  <c r="S5" i="1" s="1"/>
  <c r="S6" i="1" a="1"/>
  <c r="S6" i="1" s="1"/>
  <c r="S21" i="1" a="1"/>
  <c r="S21" i="1" s="1"/>
  <c r="S17" i="1" a="1"/>
  <c r="S17" i="1" s="1"/>
  <c r="Q28" i="1" a="1"/>
  <c r="Q28" i="1" s="1"/>
  <c r="Q7" i="1" a="1"/>
  <c r="Q7" i="1" s="1"/>
  <c r="Q23" i="1" a="1"/>
  <c r="Q23" i="1" s="1"/>
  <c r="Q22" i="1" a="1"/>
  <c r="Q22" i="1" s="1"/>
  <c r="Q26" i="1" a="1"/>
  <c r="Q26" i="1" s="1"/>
  <c r="Q21" i="1" a="1"/>
  <c r="Q21" i="1" s="1"/>
  <c r="Q19" i="1" a="1"/>
  <c r="Q19" i="1" s="1"/>
  <c r="Q14" i="1" a="1"/>
  <c r="Q14" i="1" s="1"/>
  <c r="Q13" i="1" a="1"/>
  <c r="Q13" i="1" s="1"/>
  <c r="Q24" i="1" a="1"/>
  <c r="Q24" i="1" s="1"/>
  <c r="Q12" i="1" a="1"/>
  <c r="Q12" i="1" s="1"/>
  <c r="T6" i="1" a="1"/>
  <c r="T6" i="1" s="1"/>
  <c r="T17" i="1" a="1"/>
  <c r="T17" i="1" s="1"/>
  <c r="T12" i="1" a="1"/>
  <c r="T12" i="1" s="1"/>
  <c r="T23" i="1" a="1"/>
  <c r="T23" i="1" s="1"/>
  <c r="U6" i="1" a="1"/>
  <c r="U6" i="1" s="1"/>
  <c r="U18" i="1" a="1"/>
  <c r="U18" i="1" s="1"/>
  <c r="U19" i="1" a="1"/>
  <c r="U19" i="1" s="1"/>
  <c r="U16" i="1" a="1"/>
  <c r="U16" i="1" s="1"/>
  <c r="U29" i="1" a="1"/>
  <c r="U29" i="1" s="1"/>
  <c r="U17" i="1" a="1"/>
  <c r="U17" i="1" s="1"/>
  <c r="U8" i="1" a="1"/>
  <c r="U8" i="1" s="1"/>
  <c r="U25" i="1" a="1"/>
  <c r="U25" i="1" s="1"/>
  <c r="U10" i="1" a="1"/>
  <c r="U10" i="1" s="1"/>
  <c r="U27" i="1" a="1"/>
  <c r="U27" i="1" s="1"/>
  <c r="O19" i="1" a="1"/>
  <c r="O19" i="1" s="1"/>
  <c r="O7" i="1" a="1"/>
  <c r="O7" i="1" s="1"/>
  <c r="O14" i="1" a="1"/>
  <c r="O14" i="1" s="1"/>
  <c r="O13" i="1" a="1"/>
  <c r="O13" i="1" s="1"/>
  <c r="O26" i="1" a="1"/>
  <c r="O26" i="1" s="1"/>
  <c r="O21" i="1" a="1"/>
  <c r="O21" i="1" s="1"/>
  <c r="O8" i="1" a="1"/>
  <c r="O8" i="1" s="1"/>
  <c r="O20" i="1" a="1"/>
  <c r="O20" i="1" s="1"/>
  <c r="O27" i="1" a="1"/>
  <c r="O27" i="1" s="1"/>
  <c r="O29" i="1" a="1"/>
  <c r="O29" i="1" s="1"/>
  <c r="O17" i="1" a="1"/>
  <c r="O17" i="1" s="1"/>
  <c r="V16" i="1" a="1"/>
  <c r="V16" i="1" s="1"/>
  <c r="V23" i="1" a="1"/>
  <c r="V23" i="1" s="1"/>
  <c r="V7" i="1" a="1"/>
  <c r="V7" i="1" s="1"/>
  <c r="V25" i="1" a="1"/>
  <c r="V25" i="1" s="1"/>
  <c r="Q11" i="1" a="1"/>
  <c r="Q11" i="1" s="1"/>
  <c r="Q18" i="1" a="1"/>
  <c r="Q18" i="1" s="1"/>
  <c r="Q25" i="1" a="1"/>
  <c r="Q25" i="1" s="1"/>
  <c r="Q9" i="1" a="1"/>
  <c r="Q9" i="1" s="1"/>
  <c r="Q29" i="1" a="1"/>
  <c r="Q29" i="1" s="1"/>
  <c r="Q10" i="1" a="1"/>
  <c r="Q10" i="1" s="1"/>
  <c r="Q5" i="1" a="1"/>
  <c r="Q5" i="1" s="1"/>
  <c r="Q17" i="1" a="1"/>
  <c r="Q17" i="1" s="1"/>
  <c r="Q6" i="1" a="1"/>
  <c r="Q6" i="1" s="1"/>
  <c r="Q27" i="1" a="1"/>
  <c r="Q27" i="1" s="1"/>
  <c r="R5" i="1" a="1"/>
  <c r="R5" i="1" s="1"/>
  <c r="R7" i="1" a="1"/>
  <c r="R7" i="1" s="1"/>
  <c r="R10" i="1" a="1"/>
  <c r="R10" i="1" s="1"/>
  <c r="R6" i="1" a="1"/>
  <c r="R6" i="1" s="1"/>
  <c r="R12" i="1" a="1"/>
  <c r="R12" i="1" s="1"/>
  <c r="R11" i="1" a="1"/>
  <c r="R11" i="1" s="1"/>
  <c r="R26" i="1" a="1"/>
  <c r="R26" i="1" s="1"/>
  <c r="R16" i="1" a="1"/>
  <c r="R16" i="1" s="1"/>
  <c r="R27" i="1" a="1"/>
  <c r="R27" i="1" s="1"/>
  <c r="R9" i="1" a="1"/>
  <c r="R9" i="1" s="1"/>
  <c r="P10" i="1" a="1"/>
  <c r="P10" i="1" s="1"/>
  <c r="P22" i="1" a="1"/>
  <c r="P22" i="1" s="1"/>
  <c r="P15" i="1" a="1"/>
  <c r="P15" i="1" s="1"/>
  <c r="P11" i="1" a="1"/>
  <c r="P11" i="1" s="1"/>
  <c r="P21" i="1" a="1"/>
  <c r="P21" i="1" s="1"/>
  <c r="P8" i="1" a="1"/>
  <c r="P8" i="1" s="1"/>
  <c r="P26" i="1" a="1"/>
  <c r="P26" i="1" s="1"/>
  <c r="P20" i="1" a="1"/>
  <c r="P20" i="1" s="1"/>
  <c r="P16" i="1" a="1"/>
  <c r="P16" i="1" s="1"/>
  <c r="P5" i="1" a="1"/>
  <c r="P5" i="1" s="1"/>
  <c r="S27" i="1" a="1"/>
  <c r="S27" i="1" s="1"/>
  <c r="S19" i="1" a="1"/>
  <c r="S19" i="1" s="1"/>
  <c r="S11" i="1" a="1"/>
  <c r="S11" i="1" s="1"/>
  <c r="S23" i="1" a="1"/>
  <c r="S23" i="1" s="1"/>
  <c r="O6" i="1" a="1"/>
  <c r="O6" i="1" s="1"/>
  <c r="O23" i="1" a="1"/>
  <c r="O23" i="1" s="1"/>
  <c r="O10" i="1" a="1"/>
  <c r="O10" i="1" s="1"/>
  <c r="O28" i="1" a="1"/>
  <c r="O28" i="1" s="1"/>
  <c r="O25" i="1" a="1"/>
  <c r="O25" i="1" s="1"/>
  <c r="O5" i="1" a="1"/>
  <c r="O5" i="1" s="1"/>
  <c r="O9" i="1" a="1"/>
  <c r="O9" i="1" s="1"/>
  <c r="O22" i="1" a="1"/>
  <c r="O22" i="1" s="1"/>
  <c r="O15" i="1" a="1"/>
  <c r="O15" i="1" s="1"/>
  <c r="O18" i="1" a="1"/>
  <c r="O18" i="1" s="1"/>
  <c r="N16" i="1" a="1"/>
  <c r="N16" i="1" s="1"/>
  <c r="N7" i="1" a="1"/>
  <c r="N7" i="1" s="1"/>
  <c r="N5" i="1" a="1"/>
  <c r="N5" i="1" s="1"/>
  <c r="N25" i="1" a="1"/>
  <c r="N25" i="1" s="1"/>
  <c r="N12" i="1" a="1"/>
  <c r="N12" i="1" s="1"/>
  <c r="N23" i="1" a="1"/>
  <c r="N23" i="1" s="1"/>
  <c r="N28" i="1" a="1"/>
  <c r="N28" i="1" s="1"/>
  <c r="N27" i="1" a="1"/>
  <c r="N27" i="1" s="1"/>
  <c r="N14" i="1" a="1"/>
  <c r="N14" i="1" s="1"/>
  <c r="N13" i="1" a="1"/>
  <c r="N13" i="1" s="1"/>
  <c r="N21" i="1" a="1"/>
  <c r="N21" i="1" s="1"/>
  <c r="T11" i="1" a="1"/>
  <c r="T11" i="1" s="1"/>
  <c r="T21" i="1" a="1"/>
  <c r="T21" i="1" s="1"/>
  <c r="T14" i="1" a="1"/>
  <c r="T14" i="1" s="1"/>
  <c r="T13" i="1" a="1"/>
  <c r="T13" i="1" s="1"/>
  <c r="T25" i="1" a="1"/>
  <c r="T25" i="1" s="1"/>
  <c r="T15" i="1" a="1"/>
  <c r="T15" i="1" s="1"/>
  <c r="T16" i="1" a="1"/>
  <c r="T16" i="1" s="1"/>
  <c r="T5" i="1" a="1"/>
  <c r="T5" i="1" s="1"/>
  <c r="T20" i="1" a="1"/>
  <c r="T20" i="1" s="1"/>
  <c r="T9" i="1" a="1"/>
  <c r="T9" i="1" s="1"/>
  <c r="T26" i="1" a="1"/>
  <c r="T26" i="1" s="1"/>
  <c r="Q16" i="1" a="1"/>
  <c r="Q16" i="1" s="1"/>
  <c r="Q20" i="1" a="1"/>
  <c r="Q20" i="1" s="1"/>
  <c r="Q15" i="1" a="1"/>
  <c r="Q15" i="1" s="1"/>
  <c r="Q8" i="1" a="1"/>
  <c r="Q8" i="1" s="1"/>
  <c r="P25" i="1" a="1"/>
  <c r="P25" i="1" s="1"/>
  <c r="P9" i="1" a="1"/>
  <c r="P9" i="1" s="1"/>
  <c r="P7" i="1" a="1"/>
  <c r="P7" i="1" s="1"/>
  <c r="P12" i="1" a="1"/>
  <c r="P12" i="1" s="1"/>
  <c r="P27" i="1" a="1"/>
  <c r="P27" i="1" s="1"/>
  <c r="P18" i="1" a="1"/>
  <c r="P18" i="1" s="1"/>
  <c r="P17" i="1" a="1"/>
  <c r="P17" i="1" s="1"/>
  <c r="P6" i="1" a="1"/>
  <c r="P6" i="1" s="1"/>
  <c r="P14" i="1" a="1"/>
  <c r="P14" i="1" s="1"/>
  <c r="P13" i="1" a="1"/>
  <c r="P13" i="1" s="1"/>
  <c r="P24" i="1" a="1"/>
  <c r="P24" i="1" s="1"/>
  <c r="P19" i="1" a="1"/>
  <c r="P19" i="1" s="1"/>
  <c r="P28" i="1" a="1"/>
  <c r="P28" i="1" s="1"/>
  <c r="P23" i="1" a="1"/>
  <c r="P23" i="1" s="1"/>
  <c r="P29" i="1" a="1"/>
  <c r="P29" i="1" s="1"/>
  <c r="N26" i="1" a="1"/>
  <c r="N26" i="1" s="1"/>
  <c r="N19" i="1" a="1"/>
  <c r="N19" i="1" s="1"/>
  <c r="N24" i="1" a="1"/>
  <c r="N24" i="1" s="1"/>
  <c r="N8" i="1" a="1"/>
  <c r="N8" i="1" s="1"/>
  <c r="N17" i="1" a="1"/>
  <c r="N17" i="1" s="1"/>
  <c r="N22" i="1" a="1"/>
  <c r="N22" i="1" s="1"/>
  <c r="N11" i="1" a="1"/>
  <c r="N11" i="1" s="1"/>
  <c r="N18" i="1" a="1"/>
  <c r="N18" i="1" s="1"/>
  <c r="N6" i="1" a="1"/>
  <c r="N6" i="1" s="1"/>
  <c r="N20" i="1" a="1"/>
  <c r="N20" i="1" s="1"/>
  <c r="N29" i="1" a="1"/>
  <c r="N29" i="1" s="1"/>
  <c r="N10" i="1" a="1"/>
  <c r="N10" i="1" s="1"/>
  <c r="N15" i="1" a="1"/>
  <c r="N15" i="1" s="1"/>
  <c r="N9" i="1" a="1"/>
  <c r="N9" i="1" s="1"/>
  <c r="R17" i="1" a="1"/>
  <c r="R17" i="1" s="1"/>
  <c r="R25" i="1" a="1"/>
  <c r="R25" i="1" s="1"/>
  <c r="R22" i="1" a="1"/>
  <c r="R22" i="1" s="1"/>
  <c r="R23" i="1" a="1"/>
  <c r="R23" i="1" s="1"/>
  <c r="M16" i="1" a="1"/>
  <c r="M16" i="1" s="1"/>
  <c r="M7" i="1" a="1"/>
  <c r="M7" i="1" s="1"/>
  <c r="M5" i="1" a="1"/>
  <c r="M5" i="1" s="1"/>
  <c r="M12" i="1" a="1"/>
  <c r="M12" i="1" s="1"/>
  <c r="M11" i="1" a="1"/>
  <c r="M11" i="1" s="1"/>
  <c r="M8" i="1" a="1"/>
  <c r="M8" i="1" s="1"/>
  <c r="M6" i="1" a="1"/>
  <c r="M6" i="1" s="1"/>
  <c r="M27" i="1" a="1"/>
  <c r="M27" i="1" s="1"/>
  <c r="M25" i="1" a="1"/>
  <c r="M25" i="1" s="1"/>
  <c r="M21" i="1" a="1"/>
  <c r="M21" i="1" s="1"/>
  <c r="M23" i="1" a="1"/>
  <c r="M23" i="1" s="1"/>
  <c r="M19" i="1" a="1"/>
  <c r="M19" i="1" s="1"/>
  <c r="M15" i="1" a="1"/>
  <c r="M15" i="1" s="1"/>
  <c r="M20" i="1" a="1"/>
  <c r="M20" i="1" s="1"/>
  <c r="M10" i="1" a="1"/>
  <c r="M10" i="1" s="1"/>
  <c r="M26" i="1" a="1"/>
  <c r="M26" i="1" s="1"/>
  <c r="M28" i="1" a="1"/>
  <c r="M28" i="1" s="1"/>
  <c r="M18" i="1" a="1"/>
  <c r="M18" i="1" s="1"/>
  <c r="M29" i="1" a="1"/>
  <c r="M29" i="1" s="1"/>
  <c r="M22" i="1" a="1"/>
  <c r="M22" i="1" s="1"/>
  <c r="L28" i="1" a="1"/>
  <c r="L28" i="1" s="1"/>
  <c r="L6" i="1" a="1"/>
  <c r="L6" i="1" s="1"/>
  <c r="L20" i="1" a="1"/>
  <c r="L20" i="1" s="1"/>
  <c r="L12" i="1" a="1"/>
  <c r="L12" i="1" s="1"/>
  <c r="L22" i="1" a="1"/>
  <c r="L22" i="1" s="1"/>
  <c r="L16" i="1" a="1"/>
  <c r="L16" i="1" s="1"/>
  <c r="L27" i="1" a="1"/>
  <c r="L27" i="1" s="1"/>
  <c r="L10" i="1" a="1"/>
  <c r="L10" i="1" s="1"/>
  <c r="L15" i="1" a="1"/>
  <c r="L15" i="1" s="1"/>
  <c r="L8" i="1" a="1"/>
  <c r="L8" i="1" s="1"/>
  <c r="M9" i="1" a="1"/>
  <c r="M9" i="1" s="1"/>
  <c r="M24" i="1" a="1"/>
  <c r="M24" i="1" s="1"/>
  <c r="M17" i="1" a="1"/>
  <c r="M17" i="1" s="1"/>
  <c r="M14" i="1" a="1"/>
  <c r="M14" i="1" s="1"/>
  <c r="M13" i="1" a="1"/>
  <c r="M13" i="1" s="1"/>
  <c r="O11" i="1" a="1"/>
  <c r="O11" i="1" s="1"/>
  <c r="O24" i="1" a="1"/>
  <c r="O24" i="1" s="1"/>
  <c r="O12" i="1" a="1"/>
  <c r="O12" i="1" s="1"/>
  <c r="O16" i="1" a="1"/>
  <c r="O16" i="1" s="1"/>
  <c r="L21" i="1" a="1"/>
  <c r="L21" i="1" s="1"/>
  <c r="L18" i="1" a="1"/>
  <c r="L18" i="1" s="1"/>
  <c r="L11" i="1" a="1"/>
  <c r="L11" i="1" s="1"/>
  <c r="L19" i="1" a="1"/>
  <c r="L19" i="1" s="1"/>
  <c r="L29" i="1" a="1"/>
  <c r="L29" i="1" s="1"/>
  <c r="L9" i="1" a="1"/>
  <c r="L9" i="1" s="1"/>
  <c r="L23" i="1" a="1"/>
  <c r="L23" i="1" s="1"/>
  <c r="L7" i="1" a="1"/>
  <c r="L7" i="1" s="1"/>
  <c r="L14" i="1" a="1"/>
  <c r="L14" i="1" s="1"/>
  <c r="L13" i="1" a="1"/>
  <c r="L13" i="1" s="1"/>
  <c r="L26" i="1" a="1"/>
  <c r="L26" i="1" s="1"/>
  <c r="K8" i="1" a="1"/>
  <c r="K8" i="1" s="1"/>
  <c r="K27" i="1" a="1"/>
  <c r="K27" i="1" s="1"/>
  <c r="K29" i="1" a="1"/>
  <c r="K29" i="1" s="1"/>
  <c r="K20" i="1" a="1"/>
  <c r="K20" i="1" s="1"/>
  <c r="K28" i="1" a="1"/>
  <c r="K28" i="1" s="1"/>
  <c r="K18" i="1" a="1"/>
  <c r="K18" i="1" s="1"/>
  <c r="K6" i="1" a="1"/>
  <c r="K6" i="1" s="1"/>
  <c r="K26" i="1" a="1"/>
  <c r="K26" i="1" s="1"/>
  <c r="K5" i="1" a="1"/>
  <c r="K5" i="1" s="1"/>
  <c r="K12" i="1" a="1"/>
  <c r="K12" i="1" s="1"/>
  <c r="L25" i="1" a="1"/>
  <c r="L25" i="1" s="1"/>
  <c r="L24" i="1" a="1"/>
  <c r="L24" i="1" s="1"/>
  <c r="L5" i="1" a="1"/>
  <c r="L5" i="1" s="1"/>
  <c r="L17" i="1" a="1"/>
  <c r="L17" i="1" s="1"/>
  <c r="I6" i="1" a="1"/>
  <c r="I6" i="1" s="1"/>
  <c r="I12" i="1" a="1"/>
  <c r="I12" i="1" s="1"/>
  <c r="I17" i="1" a="1"/>
  <c r="I17" i="1" s="1"/>
  <c r="I23" i="1" a="1"/>
  <c r="I23" i="1" s="1"/>
  <c r="I20" i="1" a="1"/>
  <c r="I20" i="1" s="1"/>
  <c r="I24" i="1" a="1"/>
  <c r="I24" i="1" s="1"/>
  <c r="I28" i="1" a="1"/>
  <c r="I28" i="1" s="1"/>
  <c r="I25" i="1" a="1"/>
  <c r="I25" i="1" s="1"/>
  <c r="I27" i="1" a="1"/>
  <c r="I27" i="1" s="1"/>
  <c r="I16" i="1" a="1"/>
  <c r="I16" i="1" s="1"/>
  <c r="H23" i="1" a="1"/>
  <c r="H23" i="1" s="1"/>
  <c r="H20" i="1" a="1"/>
  <c r="H20" i="1" s="1"/>
  <c r="H27" i="1" a="1"/>
  <c r="H27" i="1" s="1"/>
  <c r="H18" i="1" a="1"/>
  <c r="H18" i="1" s="1"/>
  <c r="H9" i="1" a="1"/>
  <c r="H9" i="1" s="1"/>
  <c r="H21" i="1" a="1"/>
  <c r="H21" i="1" s="1"/>
  <c r="H29" i="1" a="1"/>
  <c r="H29" i="1" s="1"/>
  <c r="H10" i="1" a="1"/>
  <c r="H10" i="1" s="1"/>
  <c r="H12" i="1" a="1"/>
  <c r="H12" i="1" s="1"/>
  <c r="H5" i="1" a="1"/>
  <c r="H5" i="1" s="1"/>
  <c r="J16" i="1" a="1"/>
  <c r="J16" i="1" s="1"/>
  <c r="J15" i="1" a="1"/>
  <c r="J15" i="1" s="1"/>
  <c r="J17" i="1" a="1"/>
  <c r="J17" i="1" s="1"/>
  <c r="J27" i="1" a="1"/>
  <c r="J27" i="1" s="1"/>
  <c r="J22" i="1" a="1"/>
  <c r="J22" i="1" s="1"/>
  <c r="J10" i="1" a="1"/>
  <c r="J10" i="1" s="1"/>
  <c r="J9" i="1" a="1"/>
  <c r="J9" i="1" s="1"/>
  <c r="J26" i="1" a="1"/>
  <c r="J26" i="1" s="1"/>
  <c r="J6" i="1" a="1"/>
  <c r="J6" i="1" s="1"/>
  <c r="J28" i="1" a="1"/>
  <c r="J28" i="1" s="1"/>
  <c r="I5" i="1" a="1"/>
  <c r="I5" i="1" s="1"/>
  <c r="I26" i="1" a="1"/>
  <c r="I26" i="1" s="1"/>
  <c r="I19" i="1" a="1"/>
  <c r="I19" i="1" s="1"/>
  <c r="I9" i="1" a="1"/>
  <c r="I9" i="1" s="1"/>
  <c r="I21" i="1" a="1"/>
  <c r="I21" i="1" s="1"/>
  <c r="I7" i="1" a="1"/>
  <c r="I7" i="1" s="1"/>
  <c r="I29" i="1" a="1"/>
  <c r="I29" i="1" s="1"/>
  <c r="I22" i="1" a="1"/>
  <c r="I22" i="1" s="1"/>
  <c r="I14" i="1" a="1"/>
  <c r="I14" i="1" s="1"/>
  <c r="I13" i="1" a="1"/>
  <c r="I13" i="1" s="1"/>
  <c r="I15" i="1" a="1"/>
  <c r="I15" i="1" s="1"/>
  <c r="F11" i="1" a="1"/>
  <c r="F11" i="1" s="1"/>
  <c r="F26" i="1" a="1"/>
  <c r="F26" i="1" s="1"/>
  <c r="F6" i="1" a="1"/>
  <c r="F6" i="1" s="1"/>
  <c r="F15" i="1" a="1"/>
  <c r="F15" i="1" s="1"/>
  <c r="F21" i="1" a="1"/>
  <c r="F21" i="1" s="1"/>
  <c r="F22" i="1" a="1"/>
  <c r="F22" i="1" s="1"/>
  <c r="F29" i="1" a="1"/>
  <c r="F29" i="1" s="1"/>
  <c r="F19" i="1" a="1"/>
  <c r="F19" i="1" s="1"/>
  <c r="F16" i="1" a="1"/>
  <c r="F16" i="1" s="1"/>
  <c r="F28" i="1" a="1"/>
  <c r="F28" i="1" s="1"/>
  <c r="G23" i="1" a="1"/>
  <c r="G23" i="1" s="1"/>
  <c r="G14" i="1" a="1"/>
  <c r="G14" i="1" s="1"/>
  <c r="G13" i="1" a="1"/>
  <c r="G13" i="1" s="1"/>
  <c r="G8" i="1" a="1"/>
  <c r="G8" i="1" s="1"/>
  <c r="G5" i="1" a="1"/>
  <c r="G5" i="1" s="1"/>
  <c r="G22" i="1" a="1"/>
  <c r="G22" i="1" s="1"/>
  <c r="G18" i="1" a="1"/>
  <c r="G18" i="1" s="1"/>
  <c r="G15" i="1" a="1"/>
  <c r="G15" i="1" s="1"/>
  <c r="G26" i="1" a="1"/>
  <c r="G26" i="1" s="1"/>
  <c r="G19" i="1" a="1"/>
  <c r="G19" i="1" s="1"/>
  <c r="G12" i="1" a="1"/>
  <c r="G12" i="1" s="1"/>
  <c r="K16" i="1" a="1"/>
  <c r="K16" i="1" s="1"/>
  <c r="K23" i="1" a="1"/>
  <c r="K23" i="1" s="1"/>
  <c r="K19" i="1" a="1"/>
  <c r="K19" i="1" s="1"/>
  <c r="K15" i="1" a="1"/>
  <c r="K15" i="1" s="1"/>
  <c r="D24" i="1" a="1"/>
  <c r="D24" i="1" s="1"/>
  <c r="D6" i="1" a="1"/>
  <c r="D6" i="1" s="1"/>
  <c r="D20" i="1" a="1"/>
  <c r="D20" i="1" s="1"/>
  <c r="D10" i="1" a="1"/>
  <c r="D10" i="1" s="1"/>
  <c r="D19" i="1" a="1"/>
  <c r="D19" i="1" s="1"/>
  <c r="D25" i="1" a="1"/>
  <c r="D25" i="1" s="1"/>
  <c r="D23" i="1" a="1"/>
  <c r="D23" i="1" s="1"/>
  <c r="D22" i="1" a="1"/>
  <c r="D22" i="1" s="1"/>
  <c r="D11" i="1" a="1"/>
  <c r="D11" i="1" s="1"/>
  <c r="D17" i="1" a="1"/>
  <c r="D17" i="1" s="1"/>
  <c r="K22" i="1" a="1"/>
  <c r="K22" i="1" s="1"/>
  <c r="K10" i="1" a="1"/>
  <c r="K10" i="1" s="1"/>
  <c r="K24" i="1" a="1"/>
  <c r="K24" i="1" s="1"/>
  <c r="K14" i="1" a="1"/>
  <c r="K14" i="1" s="1"/>
  <c r="K13" i="1" a="1"/>
  <c r="K13" i="1" s="1"/>
  <c r="K7" i="1" a="1"/>
  <c r="K7" i="1" s="1"/>
  <c r="K21" i="1" a="1"/>
  <c r="K21" i="1" s="1"/>
  <c r="K25" i="1" a="1"/>
  <c r="K25" i="1" s="1"/>
  <c r="K9" i="1" a="1"/>
  <c r="K9" i="1" s="1"/>
  <c r="K17" i="1" a="1"/>
  <c r="K17" i="1" s="1"/>
  <c r="K11" i="1" a="1"/>
  <c r="K11" i="1" s="1"/>
  <c r="I18" i="1" a="1"/>
  <c r="I18" i="1" s="1"/>
  <c r="I10" i="1" a="1"/>
  <c r="I10" i="1" s="1"/>
  <c r="I11" i="1" a="1"/>
  <c r="I11" i="1" s="1"/>
  <c r="I8" i="1" a="1"/>
  <c r="I8" i="1" s="1"/>
  <c r="J14" i="1" a="1"/>
  <c r="J14" i="1" s="1"/>
  <c r="J13" i="1" a="1"/>
  <c r="J13" i="1" s="1"/>
  <c r="J29" i="1" a="1"/>
  <c r="J29" i="1" s="1"/>
  <c r="J18" i="1" a="1"/>
  <c r="J18" i="1" s="1"/>
  <c r="J20" i="1" a="1"/>
  <c r="J20" i="1" s="1"/>
  <c r="E25" i="1" a="1"/>
  <c r="E25" i="1" s="1"/>
  <c r="E29" i="1" a="1"/>
  <c r="E29" i="1" s="1"/>
  <c r="E23" i="1" a="1"/>
  <c r="E23" i="1" s="1"/>
  <c r="E14" i="1" a="1"/>
  <c r="E14" i="1" s="1"/>
  <c r="E13" i="1" a="1"/>
  <c r="E13" i="1" s="1"/>
  <c r="E20" i="1" a="1"/>
  <c r="E20" i="1" s="1"/>
  <c r="E8" i="1" a="1"/>
  <c r="E8" i="1" s="1"/>
  <c r="E18" i="1" a="1"/>
  <c r="E18" i="1" s="1"/>
  <c r="E21" i="1" a="1"/>
  <c r="E21" i="1" s="1"/>
  <c r="E16" i="1" a="1"/>
  <c r="E16" i="1" s="1"/>
  <c r="E7" i="1" a="1"/>
  <c r="E7" i="1" s="1"/>
  <c r="E5" i="1" a="1"/>
  <c r="E5" i="1" s="1"/>
  <c r="E27" i="1" a="1"/>
  <c r="E27" i="1" s="1"/>
  <c r="E12" i="1" a="1"/>
  <c r="E12" i="1" s="1"/>
  <c r="E15" i="1" a="1"/>
  <c r="E15" i="1" s="1"/>
  <c r="E28" i="1" a="1"/>
  <c r="E28" i="1" s="1"/>
  <c r="E19" i="1" a="1"/>
  <c r="E19" i="1" s="1"/>
  <c r="E6" i="1" a="1"/>
  <c r="E6" i="1" s="1"/>
  <c r="E26" i="1" a="1"/>
  <c r="E26" i="1" s="1"/>
  <c r="E17" i="1" a="1"/>
  <c r="E17" i="1" s="1"/>
  <c r="E22" i="1" a="1"/>
  <c r="E22" i="1" s="1"/>
  <c r="AO9" i="1" a="1"/>
  <c r="AO9" i="1" s="1"/>
  <c r="AO27" i="1" a="1"/>
  <c r="AO27" i="1" s="1"/>
  <c r="AO17" i="1" a="1"/>
  <c r="AO17" i="1" s="1"/>
  <c r="AO21" i="1" a="1"/>
  <c r="AO21" i="1" s="1"/>
  <c r="AO6" i="1" a="1"/>
  <c r="AO6" i="1" s="1"/>
  <c r="AO16" i="1" a="1"/>
  <c r="AO16" i="1" s="1"/>
  <c r="AO10" i="1" a="1"/>
  <c r="AO10" i="1" s="1"/>
  <c r="AO28" i="1" a="1"/>
  <c r="AO28" i="1" s="1"/>
  <c r="AO25" i="1" a="1"/>
  <c r="AO25" i="1" s="1"/>
  <c r="AO7" i="1" a="1"/>
  <c r="AO7" i="1" s="1"/>
  <c r="H7" i="1" a="1"/>
  <c r="H7" i="1" s="1"/>
  <c r="H6" i="1" a="1"/>
  <c r="H6" i="1" s="1"/>
  <c r="H26" i="1" a="1"/>
  <c r="H26" i="1" s="1"/>
  <c r="H8" i="1" a="1"/>
  <c r="H8" i="1" s="1"/>
  <c r="H25" i="1" a="1"/>
  <c r="H25" i="1" s="1"/>
  <c r="H28" i="1" a="1"/>
  <c r="H28" i="1" s="1"/>
  <c r="H14" i="1" a="1"/>
  <c r="H14" i="1" s="1"/>
  <c r="H13" i="1" a="1"/>
  <c r="H13" i="1" s="1"/>
  <c r="H17" i="1" a="1"/>
  <c r="H17" i="1" s="1"/>
  <c r="H16" i="1" a="1"/>
  <c r="H16" i="1" s="1"/>
  <c r="H15" i="1" a="1"/>
  <c r="H15" i="1" s="1"/>
  <c r="F14" i="1" a="1"/>
  <c r="F14" i="1" s="1"/>
  <c r="F13" i="1" a="1"/>
  <c r="F13" i="1" s="1"/>
  <c r="F9" i="1" a="1"/>
  <c r="F9" i="1" s="1"/>
  <c r="F10" i="1" a="1"/>
  <c r="F10" i="1" s="1"/>
  <c r="F23" i="1" a="1"/>
  <c r="F23" i="1" s="1"/>
  <c r="G11" i="1" a="1"/>
  <c r="G11" i="1" s="1"/>
  <c r="G10" i="1" a="1"/>
  <c r="G10" i="1" s="1"/>
  <c r="G9" i="1" a="1"/>
  <c r="G9" i="1" s="1"/>
  <c r="G7" i="1" a="1"/>
  <c r="G7" i="1" s="1"/>
  <c r="G27" i="1" a="1"/>
  <c r="G27" i="1" s="1"/>
  <c r="G25" i="1" a="1"/>
  <c r="G25" i="1" s="1"/>
  <c r="G6" i="1" a="1"/>
  <c r="G6" i="1" s="1"/>
  <c r="G20" i="1" a="1"/>
  <c r="G20" i="1" s="1"/>
  <c r="G24" i="1" a="1"/>
  <c r="G24" i="1" s="1"/>
  <c r="G21" i="1" a="1"/>
  <c r="G21" i="1" s="1"/>
  <c r="J25" i="1" a="1"/>
  <c r="J25" i="1" s="1"/>
  <c r="J19" i="1" a="1"/>
  <c r="J19" i="1" s="1"/>
  <c r="J8" i="1" a="1"/>
  <c r="J8" i="1" s="1"/>
  <c r="J23" i="1" a="1"/>
  <c r="J23" i="1" s="1"/>
  <c r="J7" i="1" a="1"/>
  <c r="J7" i="1" s="1"/>
  <c r="J5" i="1" a="1"/>
  <c r="J5" i="1" s="1"/>
  <c r="J24" i="1" a="1"/>
  <c r="J24" i="1" s="1"/>
  <c r="J12" i="1" a="1"/>
  <c r="J12" i="1" s="1"/>
  <c r="J11" i="1" a="1"/>
  <c r="J11" i="1" s="1"/>
  <c r="J21" i="1" a="1"/>
  <c r="J21" i="1" s="1"/>
  <c r="AN8" i="1" a="1"/>
  <c r="AN8" i="1" s="1"/>
  <c r="AN17" i="1" a="1"/>
  <c r="AN17" i="1" s="1"/>
  <c r="AN15" i="1" a="1"/>
  <c r="AN15" i="1" s="1"/>
  <c r="AN27" i="1" a="1"/>
  <c r="AN27" i="1" s="1"/>
  <c r="AN22" i="1" a="1"/>
  <c r="AN22" i="1" s="1"/>
  <c r="AN28" i="1" a="1"/>
  <c r="AN28" i="1" s="1"/>
  <c r="AN16" i="1" a="1"/>
  <c r="AN16" i="1" s="1"/>
  <c r="AN19" i="1" a="1"/>
  <c r="AN19" i="1" s="1"/>
  <c r="AN9" i="1" a="1"/>
  <c r="AN9" i="1" s="1"/>
  <c r="AN23" i="1" a="1"/>
  <c r="AN23" i="1" s="1"/>
  <c r="D9" i="1" a="1"/>
  <c r="D9" i="1" s="1"/>
  <c r="D12" i="1" a="1"/>
  <c r="D12" i="1" s="1"/>
  <c r="D14" i="1" a="1"/>
  <c r="D14" i="1" s="1"/>
  <c r="D13" i="1" a="1"/>
  <c r="D13" i="1" s="1"/>
  <c r="D28" i="1" a="1"/>
  <c r="D28" i="1" s="1"/>
  <c r="D5" i="1" a="1"/>
  <c r="D5" i="1" s="1"/>
  <c r="D29" i="1" a="1"/>
  <c r="D29" i="1" s="1"/>
  <c r="D15" i="1" a="1"/>
  <c r="D15" i="1" s="1"/>
  <c r="D7" i="1" a="1"/>
  <c r="D7" i="1" s="1"/>
  <c r="D16" i="1" a="1"/>
  <c r="D16" i="1" s="1"/>
  <c r="D21" i="1" a="1"/>
  <c r="D21" i="1" s="1"/>
  <c r="AO24" i="1" a="1"/>
  <c r="AO24" i="1" s="1"/>
  <c r="AO11" i="1" a="1"/>
  <c r="AO11" i="1" s="1"/>
  <c r="AO5" i="1" a="1"/>
  <c r="AO5" i="1" s="1"/>
  <c r="AO23" i="1" a="1"/>
  <c r="AO23" i="1" s="1"/>
  <c r="AO15" i="1" a="1"/>
  <c r="AO15" i="1" s="1"/>
  <c r="AO18" i="1" a="1"/>
  <c r="AO18" i="1" s="1"/>
  <c r="AO22" i="1" a="1"/>
  <c r="AO22" i="1" s="1"/>
  <c r="AO26" i="1" a="1"/>
  <c r="AO26" i="1" s="1"/>
  <c r="AO8" i="1" a="1"/>
  <c r="AO8" i="1" s="1"/>
  <c r="AO12" i="1" a="1"/>
  <c r="AO12" i="1" s="1"/>
  <c r="H24" i="1" a="1"/>
  <c r="H24" i="1" s="1"/>
  <c r="H22" i="1" a="1"/>
  <c r="H22" i="1" s="1"/>
  <c r="H11" i="1" a="1"/>
  <c r="H11" i="1" s="1"/>
  <c r="H19" i="1" a="1"/>
  <c r="H19" i="1" s="1"/>
  <c r="G29" i="1" a="1"/>
  <c r="G29" i="1" s="1"/>
  <c r="G17" i="1" a="1"/>
  <c r="G17" i="1" s="1"/>
  <c r="G16" i="1" a="1"/>
  <c r="G16" i="1" s="1"/>
  <c r="G28" i="1" a="1"/>
  <c r="G28" i="1" s="1"/>
  <c r="F12" i="1" a="1"/>
  <c r="F12" i="1" s="1"/>
  <c r="F24" i="1" a="1"/>
  <c r="F24" i="1" s="1"/>
  <c r="F5" i="1" a="1"/>
  <c r="F5" i="1" s="1"/>
  <c r="F25" i="1" a="1"/>
  <c r="F25" i="1" s="1"/>
  <c r="F8" i="1" a="1"/>
  <c r="F8" i="1" s="1"/>
  <c r="F18" i="1" a="1"/>
  <c r="F18" i="1" s="1"/>
  <c r="F7" i="1" a="1"/>
  <c r="F7" i="1" s="1"/>
  <c r="F17" i="1" a="1"/>
  <c r="F17" i="1" s="1"/>
  <c r="F27" i="1" a="1"/>
  <c r="F27" i="1" s="1"/>
  <c r="F20" i="1" a="1"/>
  <c r="F20" i="1" s="1"/>
  <c r="AN7" i="1" a="1"/>
  <c r="AN7" i="1" s="1"/>
  <c r="AN14" i="1" a="1"/>
  <c r="AN14" i="1" s="1"/>
  <c r="AN13" i="1" a="1"/>
  <c r="AN13" i="1" s="1"/>
  <c r="AN21" i="1" a="1"/>
  <c r="AN21" i="1" s="1"/>
  <c r="AN18" i="1" a="1"/>
  <c r="AN18" i="1" s="1"/>
  <c r="AO20" i="1" a="1"/>
  <c r="AO20" i="1" s="1"/>
  <c r="AO14" i="1" a="1"/>
  <c r="AO14" i="1" s="1"/>
  <c r="AO13" i="1" a="1"/>
  <c r="AO13" i="1" s="1"/>
  <c r="AO19" i="1" a="1"/>
  <c r="AO19" i="1" s="1"/>
  <c r="AO29" i="1" a="1"/>
  <c r="AO29" i="1" s="1"/>
  <c r="E9" i="1" a="1"/>
  <c r="E9" i="1" s="1"/>
  <c r="E11" i="1" a="1"/>
  <c r="E11" i="1" s="1"/>
  <c r="E10" i="1" a="1"/>
  <c r="E10" i="1" s="1"/>
  <c r="E24" i="1" a="1"/>
  <c r="E24" i="1" s="1"/>
  <c r="D18" i="1" a="1"/>
  <c r="D18" i="1" s="1"/>
  <c r="D8" i="1" a="1"/>
  <c r="D8" i="1" s="1"/>
  <c r="D27" i="1" a="1"/>
  <c r="D27" i="1" s="1"/>
  <c r="D26" i="1" a="1"/>
  <c r="D26" i="1" s="1"/>
  <c r="AN20" i="1" a="1"/>
  <c r="AN20" i="1" s="1"/>
  <c r="AN6" i="1" a="1"/>
  <c r="AN6" i="1" s="1"/>
  <c r="AN11" i="1" a="1"/>
  <c r="AN11" i="1" s="1"/>
  <c r="AN26" i="1" a="1"/>
  <c r="AN26" i="1" s="1"/>
  <c r="AN25" i="1" a="1"/>
  <c r="AN25" i="1" s="1"/>
  <c r="AN24" i="1" a="1"/>
  <c r="AN24" i="1" s="1"/>
  <c r="AN12" i="1" a="1"/>
  <c r="AN12" i="1" s="1"/>
  <c r="AN10" i="1" a="1"/>
  <c r="AN10" i="1" s="1"/>
  <c r="AN5" i="1" a="1"/>
  <c r="AN5" i="1" s="1"/>
  <c r="AN29" i="1" a="1"/>
  <c r="AN29" i="1" s="1"/>
  <c r="AM24" i="1" a="1"/>
  <c r="AM24" i="1" s="1"/>
  <c r="AM20" i="1" a="1"/>
  <c r="AM20" i="1" s="1"/>
  <c r="AM23" i="1" a="1"/>
  <c r="AM23" i="1" s="1"/>
  <c r="AM25" i="1" a="1"/>
  <c r="AM25" i="1" s="1"/>
  <c r="AE20" i="1" a="1"/>
  <c r="AE20" i="1" s="1"/>
  <c r="AE29" i="1" a="1"/>
  <c r="AE29" i="1" s="1"/>
  <c r="AE25" i="1" a="1"/>
  <c r="AE25" i="1" s="1"/>
  <c r="AE10" i="1" a="1"/>
  <c r="AE10" i="1" s="1"/>
  <c r="AE8" i="1" a="1"/>
  <c r="AE8" i="1" s="1"/>
  <c r="AE24" i="1" a="1"/>
  <c r="AE24" i="1" s="1"/>
  <c r="AE16" i="1" a="1"/>
  <c r="AE16" i="1" s="1"/>
  <c r="AE22" i="1" a="1"/>
  <c r="AE22" i="1" s="1"/>
  <c r="AE19" i="1" a="1"/>
  <c r="AE19" i="1" s="1"/>
  <c r="AE17" i="1" a="1"/>
  <c r="AE17" i="1" s="1"/>
  <c r="AM8" i="1" a="1"/>
  <c r="AM8" i="1" s="1"/>
  <c r="AM28" i="1" a="1"/>
  <c r="AM28" i="1" s="1"/>
  <c r="AM7" i="1" a="1"/>
  <c r="AM7" i="1" s="1"/>
  <c r="AM18" i="1" a="1"/>
  <c r="AM18" i="1" s="1"/>
  <c r="AM11" i="1" a="1"/>
  <c r="AM11" i="1" s="1"/>
  <c r="AM29" i="1" a="1"/>
  <c r="AM29" i="1" s="1"/>
  <c r="AM15" i="1" a="1"/>
  <c r="AM15" i="1" s="1"/>
  <c r="AM14" i="1" a="1"/>
  <c r="AM14" i="1" s="1"/>
  <c r="AM13" i="1" a="1"/>
  <c r="AM13" i="1" s="1"/>
  <c r="AM26" i="1" a="1"/>
  <c r="AM26" i="1" s="1"/>
  <c r="AM12" i="1" a="1"/>
  <c r="AM12" i="1" s="1"/>
  <c r="AH14" i="1" a="1"/>
  <c r="AH14" i="1" s="1"/>
  <c r="AH13" i="1" a="1"/>
  <c r="AH13" i="1" s="1"/>
  <c r="AH20" i="1" a="1"/>
  <c r="AH20" i="1" s="1"/>
  <c r="AH16" i="1" a="1"/>
  <c r="AH16" i="1" s="1"/>
  <c r="AH25" i="1" a="1"/>
  <c r="AH25" i="1" s="1"/>
  <c r="AH21" i="1" a="1"/>
  <c r="AH21" i="1" s="1"/>
  <c r="AH10" i="1" a="1"/>
  <c r="AH10" i="1" s="1"/>
  <c r="AH27" i="1" a="1"/>
  <c r="AH27" i="1" s="1"/>
  <c r="AH18" i="1" a="1"/>
  <c r="AH18" i="1" s="1"/>
  <c r="AH23" i="1" a="1"/>
  <c r="AH23" i="1" s="1"/>
  <c r="AH11" i="1" a="1"/>
  <c r="AH11" i="1" s="1"/>
  <c r="AE12" i="1" a="1"/>
  <c r="AE12" i="1" s="1"/>
  <c r="AE14" i="1" a="1"/>
  <c r="AE14" i="1" s="1"/>
  <c r="AE13" i="1" a="1"/>
  <c r="AE13" i="1" s="1"/>
  <c r="AE7" i="1" a="1"/>
  <c r="AE7" i="1" s="1"/>
  <c r="AE6" i="1" a="1"/>
  <c r="AE6" i="1" s="1"/>
  <c r="AE11" i="1" a="1"/>
  <c r="AE11" i="1" s="1"/>
  <c r="AE9" i="1" a="1"/>
  <c r="AE9" i="1" s="1"/>
  <c r="AE27" i="1" a="1"/>
  <c r="AE27" i="1" s="1"/>
  <c r="AE21" i="1" a="1"/>
  <c r="AE21" i="1" s="1"/>
  <c r="AE18" i="1" a="1"/>
  <c r="AE18" i="1" s="1"/>
  <c r="AE26" i="1" a="1"/>
  <c r="AE26" i="1" s="1"/>
  <c r="AG8" i="1" a="1"/>
  <c r="AG8" i="1" s="1"/>
  <c r="AG22" i="1" a="1"/>
  <c r="AG22" i="1" s="1"/>
  <c r="AG14" i="1" a="1"/>
  <c r="AG14" i="1" s="1"/>
  <c r="AG13" i="1" a="1"/>
  <c r="AG13" i="1" s="1"/>
  <c r="AG19" i="1" a="1"/>
  <c r="AG19" i="1" s="1"/>
  <c r="AG11" i="1" a="1"/>
  <c r="AG11" i="1" s="1"/>
  <c r="AG17" i="1" a="1"/>
  <c r="AG17" i="1" s="1"/>
  <c r="AG10" i="1" a="1"/>
  <c r="AG10" i="1" s="1"/>
  <c r="AG25" i="1" a="1"/>
  <c r="AG25" i="1" s="1"/>
  <c r="AG15" i="1" a="1"/>
  <c r="AG15" i="1" s="1"/>
  <c r="AG9" i="1" a="1"/>
  <c r="AG9" i="1" s="1"/>
  <c r="AG5" i="1" a="1"/>
  <c r="AG5" i="1" s="1"/>
  <c r="AG12" i="1" a="1"/>
  <c r="AG12" i="1" s="1"/>
  <c r="AG29" i="1" a="1"/>
  <c r="AG29" i="1" s="1"/>
  <c r="AG23" i="1" a="1"/>
  <c r="AG23" i="1" s="1"/>
  <c r="AG16" i="1" a="1"/>
  <c r="AG16" i="1" s="1"/>
  <c r="AG28" i="1" a="1"/>
  <c r="AG28" i="1" s="1"/>
  <c r="AG27" i="1" a="1"/>
  <c r="AG27" i="1" s="1"/>
  <c r="AG20" i="1" a="1"/>
  <c r="AG20" i="1" s="1"/>
  <c r="AG6" i="1" a="1"/>
  <c r="AG6" i="1" s="1"/>
  <c r="AG26" i="1" a="1"/>
  <c r="AG26" i="1" s="1"/>
  <c r="AF22" i="1" a="1"/>
  <c r="AF22" i="1" s="1"/>
  <c r="AF10" i="1" a="1"/>
  <c r="AF10" i="1" s="1"/>
  <c r="AF24" i="1" a="1"/>
  <c r="AF24" i="1" s="1"/>
  <c r="AF11" i="1" a="1"/>
  <c r="AF11" i="1" s="1"/>
  <c r="AF14" i="1" a="1"/>
  <c r="AF14" i="1" s="1"/>
  <c r="AF13" i="1" a="1"/>
  <c r="AF13" i="1" s="1"/>
  <c r="AF21" i="1" a="1"/>
  <c r="AF21" i="1" s="1"/>
  <c r="AF15" i="1" a="1"/>
  <c r="AF15" i="1" s="1"/>
  <c r="AF28" i="1" a="1"/>
  <c r="AF28" i="1" s="1"/>
  <c r="AF27" i="1" a="1"/>
  <c r="AF27" i="1" s="1"/>
  <c r="AF9" i="1" a="1"/>
  <c r="AF9" i="1" s="1"/>
  <c r="AC14" i="1" a="1"/>
  <c r="AC14" i="1" s="1"/>
  <c r="AC13" i="1" a="1"/>
  <c r="AC13" i="1" s="1"/>
  <c r="AC27" i="1" a="1"/>
  <c r="AC27" i="1" s="1"/>
  <c r="AC24" i="1" a="1"/>
  <c r="AC24" i="1" s="1"/>
  <c r="AC17" i="1" a="1"/>
  <c r="AC17" i="1" s="1"/>
  <c r="AC5" i="1" a="1"/>
  <c r="AC5" i="1" s="1"/>
  <c r="AC29" i="1" a="1"/>
  <c r="AC29" i="1" s="1"/>
  <c r="AC6" i="1" a="1"/>
  <c r="AC6" i="1" s="1"/>
  <c r="AC16" i="1" a="1"/>
  <c r="AC16" i="1" s="1"/>
  <c r="AC21" i="1" a="1"/>
  <c r="AC21" i="1" s="1"/>
  <c r="AC22" i="1" a="1"/>
  <c r="AC22" i="1" s="1"/>
  <c r="AK27" i="1" a="1"/>
  <c r="AK27" i="1" s="1"/>
  <c r="AK15" i="1" a="1"/>
  <c r="AK15" i="1" s="1"/>
  <c r="AK29" i="1" a="1"/>
  <c r="AK29" i="1" s="1"/>
  <c r="AK25" i="1" a="1"/>
  <c r="AK25" i="1" s="1"/>
  <c r="AK20" i="1" a="1"/>
  <c r="AK20" i="1" s="1"/>
  <c r="AK17" i="1" a="1"/>
  <c r="AK17" i="1" s="1"/>
  <c r="AK22" i="1" a="1"/>
  <c r="AK22" i="1" s="1"/>
  <c r="AK16" i="1" a="1"/>
  <c r="AK16" i="1" s="1"/>
  <c r="AK10" i="1" a="1"/>
  <c r="AK10" i="1" s="1"/>
  <c r="AK19" i="1" a="1"/>
  <c r="AK19" i="1" s="1"/>
  <c r="AF25" i="1" a="1"/>
  <c r="AF25" i="1" s="1"/>
  <c r="AF12" i="1" a="1"/>
  <c r="AF12" i="1" s="1"/>
  <c r="AF26" i="1" a="1"/>
  <c r="AF26" i="1" s="1"/>
  <c r="AF29" i="1" a="1"/>
  <c r="AF29" i="1" s="1"/>
  <c r="AF6" i="1" a="1"/>
  <c r="AF6" i="1" s="1"/>
  <c r="AF23" i="1" a="1"/>
  <c r="AF23" i="1" s="1"/>
  <c r="AF18" i="1" a="1"/>
  <c r="AF18" i="1" s="1"/>
  <c r="AF16" i="1" a="1"/>
  <c r="AF16" i="1" s="1"/>
  <c r="AF5" i="1" a="1"/>
  <c r="AF5" i="1" s="1"/>
  <c r="AF20" i="1" a="1"/>
  <c r="AF20" i="1" s="1"/>
  <c r="AC8" i="1" a="1"/>
  <c r="AC8" i="1" s="1"/>
  <c r="AC15" i="1" a="1"/>
  <c r="AC15" i="1" s="1"/>
  <c r="AC20" i="1" a="1"/>
  <c r="AC20" i="1" s="1"/>
  <c r="AC10" i="1" a="1"/>
  <c r="AC10" i="1" s="1"/>
  <c r="AC12" i="1" a="1"/>
  <c r="AC12" i="1" s="1"/>
  <c r="AC9" i="1" a="1"/>
  <c r="AC9" i="1" s="1"/>
  <c r="AC25" i="1" a="1"/>
  <c r="AC25" i="1" s="1"/>
  <c r="AC11" i="1" a="1"/>
  <c r="AC11" i="1" s="1"/>
  <c r="AC7" i="1" a="1"/>
  <c r="AC7" i="1" s="1"/>
  <c r="AC28" i="1" a="1"/>
  <c r="AC28" i="1" s="1"/>
  <c r="AI23" i="1" a="1"/>
  <c r="AI23" i="1" s="1"/>
  <c r="AI27" i="1" a="1"/>
  <c r="AI27" i="1" s="1"/>
  <c r="AI18" i="1" a="1"/>
  <c r="AI18" i="1" s="1"/>
  <c r="AI14" i="1" a="1"/>
  <c r="AI14" i="1" s="1"/>
  <c r="AI13" i="1" a="1"/>
  <c r="AI13" i="1" s="1"/>
  <c r="AI17" i="1" a="1"/>
  <c r="AI17" i="1" s="1"/>
  <c r="AI15" i="1" a="1"/>
  <c r="AI15" i="1" s="1"/>
  <c r="AI10" i="1" a="1"/>
  <c r="AI10" i="1" s="1"/>
  <c r="AI28" i="1" a="1"/>
  <c r="AI28" i="1" s="1"/>
  <c r="AI29" i="1" a="1"/>
  <c r="AI29" i="1" s="1"/>
  <c r="AI19" i="1" a="1"/>
  <c r="AI19" i="1" s="1"/>
  <c r="AL26" i="1" a="1"/>
  <c r="AL26" i="1" s="1"/>
  <c r="AL5" i="1" a="1"/>
  <c r="AL5" i="1" s="1"/>
  <c r="AL22" i="1" a="1"/>
  <c r="AL22" i="1" s="1"/>
  <c r="AL23" i="1" a="1"/>
  <c r="AL23" i="1" s="1"/>
  <c r="AL7" i="1" a="1"/>
  <c r="AL7" i="1" s="1"/>
  <c r="AL8" i="1" a="1"/>
  <c r="AL8" i="1" s="1"/>
  <c r="AL24" i="1" a="1"/>
  <c r="AL24" i="1" s="1"/>
  <c r="AL15" i="1" a="1"/>
  <c r="AL15" i="1" s="1"/>
  <c r="AL21" i="1" a="1"/>
  <c r="AL21" i="1" s="1"/>
  <c r="AL25" i="1" a="1"/>
  <c r="AL25" i="1" s="1"/>
  <c r="AI25" i="1" a="1"/>
  <c r="AI25" i="1" s="1"/>
  <c r="AI12" i="1" a="1"/>
  <c r="AI12" i="1" s="1"/>
  <c r="AI26" i="1" a="1"/>
  <c r="AI26" i="1" s="1"/>
  <c r="AI16" i="1" a="1"/>
  <c r="AI16" i="1" s="1"/>
  <c r="AI9" i="1" a="1"/>
  <c r="AI9" i="1" s="1"/>
  <c r="AI11" i="1" a="1"/>
  <c r="AI11" i="1" s="1"/>
  <c r="AI22" i="1" a="1"/>
  <c r="AI22" i="1" s="1"/>
  <c r="AI20" i="1" a="1"/>
  <c r="AI20" i="1" s="1"/>
  <c r="AI24" i="1" a="1"/>
  <c r="AI24" i="1" s="1"/>
  <c r="AI6" i="1" a="1"/>
  <c r="AI6" i="1" s="1"/>
  <c r="AH15" i="1" a="1"/>
  <c r="AH15" i="1" s="1"/>
  <c r="AH19" i="1" a="1"/>
  <c r="AH19" i="1" s="1"/>
  <c r="AH24" i="1" a="1"/>
  <c r="AH24" i="1" s="1"/>
  <c r="AH17" i="1" a="1"/>
  <c r="AH17" i="1" s="1"/>
  <c r="AH5" i="1" a="1"/>
  <c r="AH5" i="1" s="1"/>
  <c r="AH29" i="1" a="1"/>
  <c r="AH29" i="1" s="1"/>
  <c r="AH8" i="1" a="1"/>
  <c r="AH8" i="1" s="1"/>
  <c r="AH12" i="1" a="1"/>
  <c r="AH12" i="1" s="1"/>
  <c r="AH9" i="1" a="1"/>
  <c r="AH9" i="1" s="1"/>
  <c r="AH26" i="1" a="1"/>
  <c r="AH26" i="1" s="1"/>
  <c r="AE23" i="1" a="1"/>
  <c r="AE23" i="1" s="1"/>
  <c r="AE28" i="1" a="1"/>
  <c r="AE28" i="1" s="1"/>
  <c r="AE15" i="1" a="1"/>
  <c r="AE15" i="1" s="1"/>
  <c r="AE5" i="1" a="1"/>
  <c r="AE5" i="1" s="1"/>
  <c r="AD21" i="1" a="1"/>
  <c r="AD21" i="1" s="1"/>
  <c r="AD16" i="1" a="1"/>
  <c r="AD16" i="1" s="1"/>
  <c r="AD17" i="1" a="1"/>
  <c r="AD17" i="1" s="1"/>
  <c r="AD24" i="1" a="1"/>
  <c r="AD24" i="1" s="1"/>
  <c r="AD19" i="1" a="1"/>
  <c r="AD19" i="1" s="1"/>
  <c r="AD6" i="1" a="1"/>
  <c r="AD6" i="1" s="1"/>
  <c r="AD14" i="1" a="1"/>
  <c r="AD14" i="1" s="1"/>
  <c r="AD13" i="1" a="1"/>
  <c r="AD13" i="1" s="1"/>
  <c r="AD22" i="1" a="1"/>
  <c r="AD22" i="1" s="1"/>
  <c r="AD7" i="1" a="1"/>
  <c r="AD7" i="1" s="1"/>
  <c r="AD23" i="1" a="1"/>
  <c r="AD23" i="1" s="1"/>
  <c r="AL16" i="1" a="1"/>
  <c r="AL16" i="1" s="1"/>
  <c r="AL28" i="1" a="1"/>
  <c r="AL28" i="1" s="1"/>
  <c r="AL17" i="1" a="1"/>
  <c r="AL17" i="1" s="1"/>
  <c r="AL6" i="1" a="1"/>
  <c r="AL6" i="1" s="1"/>
  <c r="AJ28" i="1" a="1"/>
  <c r="AJ28" i="1" s="1"/>
  <c r="AJ23" i="1" a="1"/>
  <c r="AJ23" i="1" s="1"/>
  <c r="AJ24" i="1" a="1"/>
  <c r="AJ24" i="1" s="1"/>
  <c r="AJ15" i="1" a="1"/>
  <c r="AJ15" i="1" s="1"/>
  <c r="AJ12" i="1" a="1"/>
  <c r="AJ12" i="1" s="1"/>
  <c r="AJ10" i="1" a="1"/>
  <c r="AJ10" i="1" s="1"/>
  <c r="AJ14" i="1" a="1"/>
  <c r="AJ14" i="1" s="1"/>
  <c r="AJ13" i="1" a="1"/>
  <c r="AJ13" i="1" s="1"/>
  <c r="AJ7" i="1" a="1"/>
  <c r="AJ7" i="1" s="1"/>
  <c r="AJ20" i="1" a="1"/>
  <c r="AJ20" i="1" s="1"/>
  <c r="AJ17" i="1" a="1"/>
  <c r="AJ17" i="1" s="1"/>
  <c r="AJ11" i="1" a="1"/>
  <c r="AJ11" i="1" s="1"/>
  <c r="AJ6" i="1" a="1"/>
  <c r="AJ6" i="1" s="1"/>
  <c r="AJ27" i="1" a="1"/>
  <c r="AJ27" i="1" s="1"/>
  <c r="AJ18" i="1" a="1"/>
  <c r="AJ18" i="1" s="1"/>
  <c r="AJ21" i="1" a="1"/>
  <c r="AJ21" i="1" s="1"/>
  <c r="AJ29" i="1" a="1"/>
  <c r="AJ29" i="1" s="1"/>
  <c r="AJ26" i="1" a="1"/>
  <c r="AJ26" i="1" s="1"/>
  <c r="AJ25" i="1" a="1"/>
  <c r="AJ25" i="1" s="1"/>
  <c r="AJ16" i="1" a="1"/>
  <c r="AJ16" i="1" s="1"/>
  <c r="AJ9" i="1" a="1"/>
  <c r="AJ9" i="1" s="1"/>
  <c r="AJ8" i="1" a="1"/>
  <c r="AJ8" i="1" s="1"/>
  <c r="AJ22" i="1" a="1"/>
  <c r="AJ22" i="1" s="1"/>
  <c r="AJ5" i="1" a="1"/>
  <c r="AJ5" i="1" s="1"/>
  <c r="AJ19" i="1" a="1"/>
  <c r="AJ19" i="1" s="1"/>
  <c r="AC19" i="1" a="1"/>
  <c r="AC19" i="1" s="1"/>
  <c r="AC18" i="1" a="1"/>
  <c r="AC18" i="1" s="1"/>
  <c r="AC23" i="1" a="1"/>
  <c r="AC23" i="1" s="1"/>
  <c r="AC26" i="1" a="1"/>
  <c r="AC26" i="1" s="1"/>
  <c r="AM5" i="1" a="1"/>
  <c r="AM5" i="1" s="1"/>
  <c r="AM21" i="1" a="1"/>
  <c r="AM21" i="1" s="1"/>
  <c r="AM17" i="1" a="1"/>
  <c r="AM17" i="1" s="1"/>
  <c r="AM22" i="1" a="1"/>
  <c r="AM22" i="1" s="1"/>
  <c r="AM10" i="1" a="1"/>
  <c r="AM10" i="1" s="1"/>
  <c r="AM16" i="1" a="1"/>
  <c r="AM16" i="1" s="1"/>
  <c r="AM9" i="1" a="1"/>
  <c r="AM9" i="1" s="1"/>
  <c r="AM27" i="1" a="1"/>
  <c r="AM27" i="1" s="1"/>
  <c r="AM6" i="1" a="1"/>
  <c r="AM6" i="1" s="1"/>
  <c r="AM19" i="1" a="1"/>
  <c r="AM19" i="1" s="1"/>
  <c r="AH7" i="1" a="1"/>
  <c r="AH7" i="1" s="1"/>
  <c r="AH6" i="1" a="1"/>
  <c r="AH6" i="1" s="1"/>
  <c r="AH28" i="1" a="1"/>
  <c r="AH28" i="1" s="1"/>
  <c r="AH22" i="1" a="1"/>
  <c r="AH22" i="1" s="1"/>
  <c r="AD10" i="1" a="1"/>
  <c r="AD10" i="1" s="1"/>
  <c r="AD18" i="1" a="1"/>
  <c r="AD18" i="1" s="1"/>
  <c r="AD5" i="1" a="1"/>
  <c r="AD5" i="1" s="1"/>
  <c r="AD11" i="1" a="1"/>
  <c r="AD11" i="1" s="1"/>
  <c r="AK24" i="1" a="1"/>
  <c r="AK24" i="1" s="1"/>
  <c r="AK18" i="1" a="1"/>
  <c r="AK18" i="1" s="1"/>
  <c r="AK6" i="1" a="1"/>
  <c r="AK6" i="1" s="1"/>
  <c r="AK26" i="1" a="1"/>
  <c r="AK26" i="1" s="1"/>
  <c r="AD9" i="1" a="1"/>
  <c r="AD9" i="1" s="1"/>
  <c r="AD28" i="1" a="1"/>
  <c r="AD28" i="1" s="1"/>
  <c r="AD20" i="1" a="1"/>
  <c r="AD20" i="1" s="1"/>
  <c r="AD15" i="1" a="1"/>
  <c r="AD15" i="1" s="1"/>
  <c r="AD26" i="1" a="1"/>
  <c r="AD26" i="1" s="1"/>
  <c r="AD12" i="1" a="1"/>
  <c r="AD12" i="1" s="1"/>
  <c r="AD27" i="1" a="1"/>
  <c r="AD27" i="1" s="1"/>
  <c r="AD25" i="1" a="1"/>
  <c r="AD25" i="1" s="1"/>
  <c r="AD8" i="1" a="1"/>
  <c r="AD8" i="1" s="1"/>
  <c r="AD29" i="1" a="1"/>
  <c r="AD29" i="1" s="1"/>
  <c r="AK5" i="1" a="1"/>
  <c r="AK5" i="1" s="1"/>
  <c r="AK11" i="1" a="1"/>
  <c r="AK11" i="1" s="1"/>
  <c r="AK7" i="1" a="1"/>
  <c r="AK7" i="1" s="1"/>
  <c r="AK21" i="1" a="1"/>
  <c r="AK21" i="1" s="1"/>
  <c r="AK23" i="1" a="1"/>
  <c r="AK23" i="1" s="1"/>
  <c r="AK28" i="1" a="1"/>
  <c r="AK28" i="1" s="1"/>
  <c r="AK14" i="1" a="1"/>
  <c r="AK14" i="1" s="1"/>
  <c r="AK13" i="1" a="1"/>
  <c r="AK13" i="1" s="1"/>
  <c r="AK8" i="1" a="1"/>
  <c r="AK8" i="1" s="1"/>
  <c r="AK9" i="1" a="1"/>
  <c r="AK9" i="1" s="1"/>
  <c r="AK12" i="1" a="1"/>
  <c r="AK12" i="1" s="1"/>
  <c r="AG21" i="1" a="1"/>
  <c r="AG21" i="1" s="1"/>
  <c r="AG18" i="1" a="1"/>
  <c r="AG18" i="1" s="1"/>
  <c r="AG7" i="1" a="1"/>
  <c r="AG7" i="1" s="1"/>
  <c r="AG24" i="1" a="1"/>
  <c r="AG24" i="1" s="1"/>
  <c r="AL9" i="1" a="1"/>
  <c r="AL9" i="1" s="1"/>
  <c r="AL10" i="1" a="1"/>
  <c r="AL10" i="1" s="1"/>
  <c r="AL14" i="1" a="1"/>
  <c r="AL14" i="1" s="1"/>
  <c r="AL13" i="1" a="1"/>
  <c r="AL13" i="1" s="1"/>
  <c r="AL19" i="1" a="1"/>
  <c r="AL19" i="1" s="1"/>
  <c r="AL29" i="1" a="1"/>
  <c r="AL29" i="1" s="1"/>
  <c r="AL20" i="1" a="1"/>
  <c r="AL20" i="1" s="1"/>
  <c r="AL11" i="1" a="1"/>
  <c r="AL11" i="1" s="1"/>
  <c r="AL18" i="1" a="1"/>
  <c r="AL18" i="1" s="1"/>
  <c r="AL27" i="1" a="1"/>
  <c r="AL27" i="1" s="1"/>
  <c r="AL12" i="1" a="1"/>
  <c r="AL12" i="1" s="1"/>
  <c r="AF7" i="1" a="1"/>
  <c r="AF7" i="1" s="1"/>
  <c r="AF8" i="1" a="1"/>
  <c r="AF8" i="1" s="1"/>
  <c r="AF17" i="1" a="1"/>
  <c r="AF17" i="1" s="1"/>
  <c r="AF19" i="1" a="1"/>
  <c r="AF19" i="1" s="1"/>
  <c r="AI5" i="1" a="1"/>
  <c r="AI5" i="1" s="1"/>
  <c r="AI8" i="1" a="1"/>
  <c r="AI8" i="1" s="1"/>
  <c r="AI7" i="1" a="1"/>
  <c r="AI7" i="1" s="1"/>
  <c r="AI21" i="1" a="1"/>
  <c r="AI21" i="1" s="1"/>
  <c r="K2" i="1" a="1"/>
  <c r="K2" i="1" s="1"/>
  <c r="R2" i="1" a="1"/>
  <c r="R2" i="1" s="1"/>
  <c r="AF2" i="1" a="1"/>
  <c r="AF2" i="1" s="1"/>
  <c r="AM2" i="1" a="1"/>
  <c r="AM2" i="1" s="1"/>
  <c r="Q2" i="1" a="1"/>
  <c r="Q2" i="1" s="1"/>
  <c r="AL2" i="1" a="1"/>
  <c r="AL2" i="1" s="1"/>
  <c r="X2" i="1" a="1"/>
  <c r="X2" i="1" s="1"/>
  <c r="M2" i="1" a="1"/>
  <c r="M2" i="1" s="1"/>
  <c r="W2" i="1" a="1"/>
  <c r="W2" i="1" s="1"/>
  <c r="I2" i="1" a="1"/>
  <c r="I2" i="1" s="1"/>
  <c r="AA2" i="1" a="1"/>
  <c r="AA2" i="1" s="1"/>
  <c r="AB2" i="1" a="1"/>
  <c r="AB2" i="1" s="1"/>
  <c r="Z2" i="1" a="1"/>
  <c r="Z2" i="1" s="1"/>
  <c r="AO2" i="1" a="1"/>
  <c r="AO2" i="1" s="1"/>
  <c r="S2" i="1" a="1"/>
  <c r="S2" i="1" s="1"/>
  <c r="N2" i="1" a="1"/>
  <c r="N2" i="1" s="1"/>
  <c r="F2" i="1" a="1"/>
  <c r="F2" i="1" s="1"/>
  <c r="E2" i="1" a="1"/>
  <c r="E2" i="1" s="1"/>
  <c r="D2" i="1" a="1"/>
  <c r="D2" i="1" s="1"/>
  <c r="AK2" i="1" a="1"/>
  <c r="AK2" i="1" s="1"/>
  <c r="T2" i="1" a="1"/>
  <c r="T2" i="1" s="1"/>
  <c r="V2" i="1" a="1"/>
  <c r="V2" i="1" s="1"/>
  <c r="AN2" i="1" a="1"/>
  <c r="AN2" i="1" s="1"/>
  <c r="AH2" i="1" a="1"/>
  <c r="AH2" i="1" s="1"/>
  <c r="O2" i="1" a="1"/>
  <c r="O2" i="1" s="1"/>
  <c r="AG2" i="1" a="1"/>
  <c r="AG2" i="1" s="1"/>
  <c r="P2" i="1" a="1"/>
  <c r="P2" i="1" s="1"/>
  <c r="L2" i="1" a="1"/>
  <c r="L2" i="1" s="1"/>
  <c r="AC2" i="1" a="1"/>
  <c r="AC2" i="1" s="1"/>
  <c r="H2" i="1" a="1"/>
  <c r="H2" i="1" s="1"/>
  <c r="Y2" i="1" a="1"/>
  <c r="Y2" i="1" s="1"/>
  <c r="AI2" i="1" a="1"/>
  <c r="AI2" i="1" s="1"/>
  <c r="U2" i="1" a="1"/>
  <c r="U2" i="1" s="1"/>
  <c r="AD2" i="1" a="1"/>
  <c r="AD2" i="1" s="1"/>
  <c r="AJ2" i="1" a="1"/>
  <c r="AJ2" i="1" s="1"/>
  <c r="G2" i="1" a="1"/>
  <c r="G2" i="1" s="1"/>
  <c r="J2" i="1" a="1"/>
  <c r="J2" i="1" s="1"/>
  <c r="AE2" i="1" a="1"/>
  <c r="AE2" i="1" s="1"/>
  <c r="B2" i="2" a="1"/>
  <c r="B2" i="2" s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E4" i="1"/>
  <c r="F4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<sst xmlns="http://schemas.openxmlformats.org/spreadsheetml/2006/main" count="112" uniqueCount="71">
  <si>
    <t>Index</t>
  </si>
  <si>
    <t>SPX Index</t>
  </si>
  <si>
    <t>MXEF Index</t>
  </si>
  <si>
    <t>Period</t>
  </si>
  <si>
    <t>Daily 1 Year</t>
  </si>
  <si>
    <t>Weekly 3 Year</t>
  </si>
  <si>
    <t>Monthly 5 Year</t>
  </si>
  <si>
    <t>RTY Index</t>
  </si>
  <si>
    <t>MXEA Index</t>
  </si>
  <si>
    <t>MID Index</t>
  </si>
  <si>
    <t>NDX Index</t>
  </si>
  <si>
    <t>RLV Index</t>
  </si>
  <si>
    <t>RLG Index</t>
  </si>
  <si>
    <t>MXWO Index</t>
  </si>
  <si>
    <t>USGG2YR Index</t>
  </si>
  <si>
    <t>USGG10YR Index</t>
  </si>
  <si>
    <t>LUATTRUU Index</t>
  </si>
  <si>
    <t>LUACTRUU Index</t>
  </si>
  <si>
    <t>LF98TRUU Index</t>
  </si>
  <si>
    <t>JPEIDIV Index</t>
  </si>
  <si>
    <t>LBUTTRUU Index</t>
  </si>
  <si>
    <t>USGG10YR - USGG2YR</t>
  </si>
  <si>
    <t>CL1 Comdty</t>
  </si>
  <si>
    <t>CO1 Comdty</t>
  </si>
  <si>
    <t>XAU Curncy</t>
  </si>
  <si>
    <t>HG1 Comdty</t>
  </si>
  <si>
    <t>BCOM Index</t>
  </si>
  <si>
    <t>BCOMAG Index</t>
  </si>
  <si>
    <t>DXY Curncy</t>
  </si>
  <si>
    <t>EURUSD Curncy</t>
  </si>
  <si>
    <t>USDJPY Curncy</t>
  </si>
  <si>
    <t>GBPUSD Curncy</t>
  </si>
  <si>
    <t>USDCNY Curncy</t>
  </si>
  <si>
    <t>JPEMXUS Index</t>
  </si>
  <si>
    <t>XBTUSD Curncy</t>
  </si>
  <si>
    <t>ETHUSD Curncy</t>
  </si>
  <si>
    <t>BITW Index</t>
  </si>
  <si>
    <t>RMZ Index</t>
  </si>
  <si>
    <t>IFRA US Equity</t>
  </si>
  <si>
    <t>RUGL Index</t>
  </si>
  <si>
    <t>Name</t>
  </si>
  <si>
    <t>LGTRTRUU Index</t>
  </si>
  <si>
    <t>AAXJ US Equity</t>
  </si>
  <si>
    <t>ACWI US Equity</t>
  </si>
  <si>
    <t>ADPV US Equity</t>
  </si>
  <si>
    <t>AGG US Equity</t>
  </si>
  <si>
    <t>AIA US Equity</t>
  </si>
  <si>
    <t>B3000VT Index</t>
  </si>
  <si>
    <t>B400TR Index</t>
  </si>
  <si>
    <t>B500 Index</t>
  </si>
  <si>
    <t>B500DT Index</t>
  </si>
  <si>
    <t>B500EQT Index</t>
  </si>
  <si>
    <t>B500GT Index</t>
  </si>
  <si>
    <t>GSSBDDEF Index</t>
  </si>
  <si>
    <t>GSPUERNY Index</t>
  </si>
  <si>
    <t>GSCBHKBM Index</t>
  </si>
  <si>
    <t>GSXUBFTL Index</t>
  </si>
  <si>
    <t>GSXUWFGS Index</t>
  </si>
  <si>
    <t>GSSBOPEX Index</t>
  </si>
  <si>
    <t>GSTMTSFT Index</t>
  </si>
  <si>
    <t>GSSIDIST Index</t>
  </si>
  <si>
    <t>GSSICMEQ Index</t>
  </si>
  <si>
    <t>GSFINCRB Index</t>
  </si>
  <si>
    <t>GSXABIOT Index</t>
  </si>
  <si>
    <t>GSFIBFVL Index</t>
  </si>
  <si>
    <t>GSCMRYAH Index</t>
  </si>
  <si>
    <t>US Index</t>
  </si>
  <si>
    <t>DS366</t>
  </si>
  <si>
    <t>RK397</t>
  </si>
  <si>
    <t>Correlation</t>
  </si>
  <si>
    <t>RK161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</si>
</sst>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BDP|10790804166064922010</stp>
        <tr r="D25" s="1"/>
      </tp>
      <tp t="s">
        <v>#N/A N/A</v>
        <stp/>
        <stp>BDP|18237035159654562344</stp>
        <tr r="H24" s="1"/>
      </tp>
      <tp t="s">
        <v>#N/A N/A</v>
        <stp/>
        <stp>BDP|15852018713877414969</stp>
        <tr r="X28" s="1"/>
      </tp>
      <tp t="s">
        <v>#N/A N/A</v>
        <stp/>
        <stp>BDP|15465062484756899166</stp>
        <tr r="AG19" s="1"/>
      </tp>
      <tp t="s">
        <v>#N/A N/A</v>
        <stp/>
        <stp>BDP|15239799890836326701</stp>
        <tr r="V7" s="1"/>
      </tp>
      <tp t="s">
        <v>#N/A N/A</v>
        <stp/>
        <stp>BDP|16711650536729813076</stp>
        <tr r="H19" s="1"/>
      </tp>
      <tp t="s">
        <v>#N/A N/A</v>
        <stp/>
        <stp>BDP|12029855950356611397</stp>
        <tr r="AK20" s="1"/>
      </tp>
      <tp t="s">
        <v>#N/A N/A</v>
        <stp/>
        <stp>BDP|11840157084900119257</stp>
        <tr r="AO16" s="1"/>
      </tp>
      <tp t="s">
        <v>#N/A N/A</v>
        <stp/>
        <stp>BDP|16814966531022530472</stp>
        <tr r="AN14" s="1"/>
        <tr r="AN13" s="1"/>
      </tp>
      <tp t="s">
        <v>#N/A N/A</v>
        <stp/>
        <stp>BDP|14506398681746857394</stp>
        <tr r="AI7" s="1"/>
      </tp>
      <tp t="s">
        <v>#N/A N/A</v>
        <stp/>
        <stp>BDP|14910714058845400981</stp>
        <tr r="Y29" s="1"/>
      </tp>
      <tp t="s">
        <v>#N/A N/A</v>
        <stp/>
        <stp>BDP|16979098168372715802</stp>
        <tr r="AL16" s="1"/>
      </tp>
      <tp t="s">
        <v>#N/A N/A</v>
        <stp/>
        <stp>BDP|13027248730558884030</stp>
        <tr r="AD12" s="1"/>
      </tp>
      <tp t="s">
        <v>#N/A N/A</v>
        <stp/>
        <stp>BDP|16682554941969914451</stp>
        <tr r="B22" s="1"/>
      </tp>
      <tp t="s">
        <v>#N/A N/A</v>
        <stp/>
        <stp>BDP|11370386899871700042</stp>
        <tr r="X22" s="1"/>
      </tp>
      <tp t="s">
        <v>#N/A N/A</v>
        <stp/>
        <stp>BDP|11082081685177476486</stp>
        <tr r="D10" s="1"/>
      </tp>
      <tp t="s">
        <v>#N/A N/A</v>
        <stp/>
        <stp>BDP|15292560872089532427</stp>
        <tr r="I10" s="1"/>
      </tp>
      <tp t="s">
        <v>#N/A N/A</v>
        <stp/>
        <stp>BDP|15332891464052751381</stp>
        <tr r="U9" s="1"/>
      </tp>
      <tp t="s">
        <v>#N/A N/A</v>
        <stp/>
        <stp>BDP|14126072472409189049</stp>
        <tr r="O12" s="1"/>
      </tp>
      <tp t="s">
        <v>#N/A Requesting Data...2419943047</v>
        <stp/>
        <stp>BDP|18217375103973396255</stp>
        <tr r="AJ2" s="1"/>
      </tp>
      <tp t="s">
        <v>#N/A N/A</v>
        <stp/>
        <stp>BDP|10982928546534817351</stp>
        <tr r="O8" s="1"/>
      </tp>
      <tp t="s">
        <v>#N/A N/A</v>
        <stp/>
        <stp>BDP|11272897705812562187</stp>
        <tr r="AB7" s="1"/>
      </tp>
      <tp t="s">
        <v>#N/A N/A</v>
        <stp/>
        <stp>BDP|10883846858793254441</stp>
        <tr r="P24" s="1"/>
      </tp>
      <tp t="s">
        <v>#N/A N/A</v>
        <stp/>
        <stp>BDP|11384590594975832246</stp>
        <tr r="P13" s="1"/>
        <tr r="P14" s="1"/>
      </tp>
      <tp t="s">
        <v>#N/A N/A</v>
        <stp/>
        <stp>BDP|14966098050183223855</stp>
        <tr r="M23" s="1"/>
      </tp>
      <tp t="s">
        <v>#N/A N/A</v>
        <stp/>
        <stp>BDP|16372698850327568887</stp>
        <tr r="Q20" s="1"/>
      </tp>
      <tp t="s">
        <v>#N/A N/A</v>
        <stp/>
        <stp>BDP|15956874546264823774</stp>
        <tr r="AD5" s="1"/>
      </tp>
      <tp t="s">
        <v>#N/A Requesting Data...3835695092</v>
        <stp/>
        <stp>BDP|10976229515721192894</stp>
        <tr r="AI2" s="1"/>
      </tp>
      <tp t="s">
        <v>#N/A N/A</v>
        <stp/>
        <stp>BDP|10849086862904310982</stp>
        <tr r="C21" s="1"/>
      </tp>
      <tp t="s">
        <v>#N/A N/A</v>
        <stp/>
        <stp>BDP|11834081312373367889</stp>
        <tr r="AA11" s="1"/>
      </tp>
      <tp t="s">
        <v>#N/A N/A</v>
        <stp/>
        <stp>BDP|16761231918096221877</stp>
        <tr r="G23" s="1"/>
      </tp>
      <tp t="s">
        <v>#N/A N/A</v>
        <stp/>
        <stp>BDP|10893944793903659822</stp>
        <tr r="U21" s="1"/>
      </tp>
      <tp t="s">
        <v>#N/A N/A</v>
        <stp/>
        <stp>BDP|17777911635240100684</stp>
        <tr r="G16" s="1"/>
      </tp>
      <tp t="s">
        <v>#N/A N/A</v>
        <stp/>
        <stp>BDP|12447039464217865845</stp>
        <tr r="AL10" s="1"/>
      </tp>
      <tp t="s">
        <v>#N/A N/A</v>
        <stp/>
        <stp>BDP|14079061909796922990</stp>
        <tr r="AH13" s="1"/>
        <tr r="AH14" s="1"/>
      </tp>
      <tp t="s">
        <v>#N/A N/A</v>
        <stp/>
        <stp>BDP|10000949433761484025</stp>
        <tr r="AI22" s="1"/>
      </tp>
      <tp t="s">
        <v>#N/A N/A</v>
        <stp/>
        <stp>BDP|13536272193634819780</stp>
        <tr r="Z29" s="1"/>
      </tp>
      <tp t="s">
        <v>#N/A N/A</v>
        <stp/>
        <stp>BDP|11559805312394048763</stp>
        <tr r="X23" s="1"/>
      </tp>
      <tp t="s">
        <v>#N/A N/A</v>
        <stp/>
        <stp>BDP|16538842902605796078</stp>
        <tr r="X13" s="1"/>
        <tr r="X14" s="1"/>
      </tp>
      <tp t="s">
        <v>#N/A N/A</v>
        <stp/>
        <stp>BDP|15324394197487019388</stp>
        <tr r="D24" s="1"/>
      </tp>
      <tp t="s">
        <v>#N/A Requesting Data...1692985554</v>
        <stp/>
        <stp>BDP|11045723707768447545</stp>
        <tr r="Y2" s="1"/>
      </tp>
      <tp t="s">
        <v>#N/A N/A</v>
        <stp/>
        <stp>BDP|14768639983002048339</stp>
        <tr r="AF10" s="1"/>
      </tp>
      <tp t="s">
        <v>#N/A N/A</v>
        <stp/>
        <stp>BDP|15470671453744662921</stp>
        <tr r="V23" s="1"/>
      </tp>
      <tp t="s">
        <v>#N/A N/A</v>
        <stp/>
        <stp>BDP|12261916242812320650</stp>
        <tr r="AE16" s="1"/>
      </tp>
      <tp t="s">
        <v>#N/A N/A</v>
        <stp/>
        <stp>BDP|12952410775889865324</stp>
        <tr r="AI9" s="1"/>
      </tp>
      <tp t="s">
        <v>#N/A N/A</v>
        <stp/>
        <stp>BDP|18120259391128628044</stp>
        <tr r="Y18" s="1"/>
      </tp>
      <tp t="s">
        <v>#N/A N/A</v>
        <stp/>
        <stp>BDP|18098992519253280853</stp>
        <tr r="AF7" s="1"/>
      </tp>
      <tp t="s">
        <v>#N/A N/A</v>
        <stp/>
        <stp>BDP|12696820477017214168</stp>
        <tr r="Z16" s="1"/>
      </tp>
      <tp t="s">
        <v>#N/A N/A</v>
        <stp/>
        <stp>BDP|14385526396847865760</stp>
        <tr r="P12" s="1"/>
      </tp>
      <tp t="s">
        <v>#N/A N/A</v>
        <stp/>
        <stp>BDP|12679376748258837593</stp>
        <tr r="G15" s="1"/>
      </tp>
      <tp t="s">
        <v>#N/A N/A</v>
        <stp/>
        <stp>BDP|15533916678682109157</stp>
        <tr r="M13" s="1"/>
        <tr r="M14" s="1"/>
      </tp>
      <tp t="s">
        <v>#N/A N/A</v>
        <stp/>
        <stp>BDP|13994669433326519826</stp>
        <tr r="L10" s="1"/>
      </tp>
      <tp t="s">
        <v>#N/A N/A</v>
        <stp/>
        <stp>BDP|13746512580436245089</stp>
        <tr r="W22" s="1"/>
      </tp>
      <tp t="s">
        <v>#N/A N/A</v>
        <stp/>
        <stp>BDP|10893572739369872711</stp>
        <tr r="AB13" s="1"/>
        <tr r="AB14" s="1"/>
      </tp>
      <tp t="s">
        <v>#N/A N/A</v>
        <stp/>
        <stp>BDP|17956146071110347900</stp>
        <tr r="AK18" s="1"/>
      </tp>
      <tp t="s">
        <v>#N/A N/A</v>
        <stp/>
        <stp>BDP|15394680879039374511</stp>
        <tr r="AA9" s="1"/>
      </tp>
      <tp t="s">
        <v>#N/A N/A</v>
        <stp/>
        <stp>BDP|12874994520023222208</stp>
        <tr r="C13" s="1"/>
        <tr r="C14" s="1"/>
      </tp>
      <tp t="s">
        <v>#N/A N/A</v>
        <stp/>
        <stp>BDP|18103655787936135816</stp>
        <tr r="Y24" s="1"/>
      </tp>
      <tp t="s">
        <v>#N/A N/A</v>
        <stp/>
        <stp>BDP|12616605673682084971</stp>
        <tr r="L8" s="1"/>
      </tp>
      <tp t="s">
        <v>#N/A N/A</v>
        <stp/>
        <stp>BDP|17543214054791249908</stp>
        <tr r="AE15" s="1"/>
      </tp>
      <tp t="s">
        <v>#N/A N/A</v>
        <stp/>
        <stp>BDP|17486439092483296133</stp>
        <tr r="AH6" s="1"/>
      </tp>
      <tp t="s">
        <v>#N/A N/A</v>
        <stp/>
        <stp>BDP|18300218426189019906</stp>
        <tr r="AA6" s="1"/>
      </tp>
      <tp t="s">
        <v>#N/A N/A</v>
        <stp/>
        <stp>BDP|11457616936498075442</stp>
        <tr r="AD8" s="1"/>
      </tp>
      <tp t="s">
        <v>#N/A N/A</v>
        <stp/>
        <stp>BDP|12125525045612414944</stp>
        <tr r="H28" s="1"/>
      </tp>
      <tp t="s">
        <v>#N/A N/A</v>
        <stp/>
        <stp>BDP|10987266495546704442</stp>
        <tr r="AE22" s="1"/>
      </tp>
      <tp t="s">
        <v>#N/A N/A</v>
        <stp/>
        <stp>BDP|13136514697377644186</stp>
        <tr r="V11" s="1"/>
      </tp>
      <tp t="s">
        <v>#N/A N/A</v>
        <stp/>
        <stp>BDP|10229615053768944201</stp>
        <tr r="AK16" s="1"/>
      </tp>
      <tp t="s">
        <v>#N/A N/A</v>
        <stp/>
        <stp>BDP|12181105399613044000</stp>
        <tr r="Y27" s="1"/>
      </tp>
      <tp t="s">
        <v>#N/A N/A</v>
        <stp/>
        <stp>BDP|15098360614736381894</stp>
        <tr r="D6" s="1"/>
      </tp>
      <tp t="s">
        <v>#N/A N/A</v>
        <stp/>
        <stp>BDP|14649930430134995379</stp>
        <tr r="AC19" s="1"/>
      </tp>
      <tp t="s">
        <v>#N/A N/A</v>
        <stp/>
        <stp>BDP|13473102616453154981</stp>
        <tr r="P18" s="1"/>
      </tp>
      <tp t="s">
        <v>#N/A N/A</v>
        <stp/>
        <stp>BDP|12290196001848322221</stp>
        <tr r="X16" s="1"/>
      </tp>
      <tp t="s">
        <v>#N/A N/A</v>
        <stp/>
        <stp>BDP|10234478994362246694</stp>
        <tr r="S9" s="1"/>
      </tp>
      <tp t="s">
        <v>#N/A N/A</v>
        <stp/>
        <stp>BDP|15698445860397776980</stp>
        <tr r="AO13" s="1"/>
        <tr r="AO14" s="1"/>
      </tp>
      <tp t="s">
        <v>#N/A N/A</v>
        <stp/>
        <stp>BDP|10156295889997800454</stp>
        <tr r="N25" s="1"/>
      </tp>
      <tp t="s">
        <v>#N/A N/A</v>
        <stp/>
        <stp>BDP|11703689621964738860</stp>
        <tr r="S29" s="1"/>
      </tp>
      <tp t="s">
        <v>#N/A N/A</v>
        <stp/>
        <stp>BDP|18014335270505509091</stp>
        <tr r="J13" s="1"/>
        <tr r="J14" s="1"/>
      </tp>
      <tp t="s">
        <v>#N/A N/A</v>
        <stp/>
        <stp>BDP|11588428609488372434</stp>
        <tr r="U11" s="1"/>
      </tp>
      <tp t="s">
        <v>#N/A N/A</v>
        <stp/>
        <stp>BDP|13273781677759540394</stp>
        <tr r="X29" s="1"/>
      </tp>
      <tp t="s">
        <v>#N/A N/A</v>
        <stp/>
        <stp>BDP|16122007987213302442</stp>
        <tr r="R22" s="1"/>
      </tp>
      <tp t="s">
        <v>#N/A N/A</v>
        <stp/>
        <stp>BDP|12734107502042466807</stp>
        <tr r="AC8" s="1"/>
      </tp>
      <tp t="s">
        <v>#N/A N/A</v>
        <stp/>
        <stp>BDP|17739652604388154074</stp>
        <tr r="AE28" s="1"/>
      </tp>
      <tp t="s">
        <v>#N/A N/A</v>
        <stp/>
        <stp>BDP|10214879130295476724</stp>
        <tr r="AE19" s="1"/>
      </tp>
      <tp t="s">
        <v>#N/A N/A</v>
        <stp/>
        <stp>BDP|12169903502745816781</stp>
        <tr r="U12" s="1"/>
      </tp>
      <tp t="s">
        <v>#N/A N/A</v>
        <stp/>
        <stp>BDP|10680881711458581892</stp>
        <tr r="AJ28" s="1"/>
      </tp>
      <tp t="s">
        <v>#N/A N/A</v>
        <stp/>
        <stp>BDP|10914954002409847940</stp>
        <tr r="M15" s="1"/>
      </tp>
      <tp t="s">
        <v>#N/A N/A</v>
        <stp/>
        <stp>BDP|18246329739009433886</stp>
        <tr r="AA26" s="1"/>
      </tp>
      <tp t="s">
        <v>#N/A N/A</v>
        <stp/>
        <stp>BDP|12434078393023273164</stp>
        <tr r="B21" s="1"/>
      </tp>
      <tp t="s">
        <v>#N/A N/A</v>
        <stp/>
        <stp>BDP|13654857100655748705</stp>
        <tr r="AO21" s="1"/>
      </tp>
      <tp t="s">
        <v>#N/A N/A</v>
        <stp/>
        <stp>BDP|13344972024766557722</stp>
        <tr r="Z22" s="1"/>
      </tp>
      <tp t="s">
        <v>#N/A N/A</v>
        <stp/>
        <stp>BDP|11988200861089636589</stp>
        <tr r="AE20" s="1"/>
      </tp>
      <tp t="s">
        <v>#N/A N/A</v>
        <stp/>
        <stp>BDP|15627629255911895916</stp>
        <tr r="L12" s="1"/>
      </tp>
      <tp t="s">
        <v>#N/A Requesting Data...1873672983</v>
        <stp/>
        <stp>BDP|12143813893525832813</stp>
        <tr r="H2" s="1"/>
      </tp>
      <tp t="s">
        <v>#N/A N/A</v>
        <stp/>
        <stp>BDP|14305995069233862661</stp>
        <tr r="S7" s="1"/>
      </tp>
      <tp t="s">
        <v>#N/A N/A</v>
        <stp/>
        <stp>BDP|12199006469069524314</stp>
        <tr r="B23" s="1"/>
      </tp>
      <tp t="s">
        <v>#N/A N/A</v>
        <stp/>
        <stp>BDP|16281872674596852155</stp>
        <tr r="C12" s="1"/>
      </tp>
      <tp t="s">
        <v>#N/A Requesting Data...3222516830</v>
        <stp/>
        <stp>BDP|15017093192406114469</stp>
        <tr r="J2" s="1"/>
      </tp>
      <tp t="s">
        <v>#N/A N/A</v>
        <stp/>
        <stp>BDP|12890556181243921299</stp>
        <tr r="V9" s="1"/>
      </tp>
      <tp t="s">
        <v>#N/A N/A</v>
        <stp/>
        <stp>BDP|16951831505479050908</stp>
        <tr r="AL17" s="1"/>
      </tp>
      <tp t="s">
        <v>#N/A N/A</v>
        <stp/>
        <stp>BDP|11877260492337644357</stp>
        <tr r="V13" s="1"/>
        <tr r="V14" s="1"/>
      </tp>
      <tp t="s">
        <v>#N/A N/A</v>
        <stp/>
        <stp>BDP|18434463888338028254</stp>
        <tr r="Z25" s="1"/>
      </tp>
      <tp t="s">
        <v>#N/A N/A</v>
        <stp/>
        <stp>BDP|13933062493567086322</stp>
        <tr r="AH20" s="1"/>
      </tp>
      <tp t="s">
        <v>#N/A N/A</v>
        <stp/>
        <stp>BDP|11903429148066962948</stp>
        <tr r="I9" s="1"/>
      </tp>
      <tp t="s">
        <v>#N/A N/A</v>
        <stp/>
        <stp>BDP|15128806675565134149</stp>
        <tr r="AM23" s="1"/>
      </tp>
      <tp t="s">
        <v>#N/A N/A</v>
        <stp/>
        <stp>BDP|12706524096677694742</stp>
        <tr r="N9" s="1"/>
      </tp>
      <tp t="s">
        <v>#N/A N/A</v>
        <stp/>
        <stp>BDP|12647971020753035405</stp>
        <tr r="R15" s="1"/>
      </tp>
      <tp t="s">
        <v>#N/A N/A</v>
        <stp/>
        <stp>BDP|11072133690683235414</stp>
        <tr r="AJ12" s="1"/>
      </tp>
      <tp t="s">
        <v>#N/A N/A</v>
        <stp/>
        <stp>BDP|15701275427188115361</stp>
        <tr r="AK26" s="1"/>
      </tp>
      <tp t="s">
        <v>#N/A N/A</v>
        <stp/>
        <stp>BDP|16020491859609419040</stp>
        <tr r="AG13" s="1"/>
        <tr r="AG14" s="1"/>
      </tp>
      <tp t="s">
        <v>#N/A N/A</v>
        <stp/>
        <stp>BDP|18342200137936648109</stp>
        <tr r="AJ8" s="1"/>
      </tp>
      <tp t="s">
        <v>#N/A N/A</v>
        <stp/>
        <stp>BDP|11238971162467605744</stp>
        <tr r="B26" s="1"/>
      </tp>
      <tp t="s">
        <v>#N/A N/A</v>
        <stp/>
        <stp>BDP|18297517561877166272</stp>
        <tr r="K23" s="1"/>
      </tp>
      <tp t="s">
        <v>#N/A N/A</v>
        <stp/>
        <stp>BDP|12839092579943998855</stp>
        <tr r="U23" s="1"/>
      </tp>
      <tp t="s">
        <v>#N/A N/A</v>
        <stp/>
        <stp>BDP|11507120020928859487</stp>
        <tr r="P17" s="1"/>
      </tp>
      <tp t="s">
        <v>#N/A N/A</v>
        <stp/>
        <stp>BDP|16619619771121849891</stp>
        <tr r="D26" s="1"/>
      </tp>
      <tp t="s">
        <v>#N/A N/A</v>
        <stp/>
        <stp>BDP|15765538235514298944</stp>
        <tr r="M17" s="1"/>
      </tp>
      <tp t="s">
        <v>#N/A N/A</v>
        <stp/>
        <stp>BDP|17261914460031569704</stp>
        <tr r="L28" s="1"/>
      </tp>
      <tp t="s">
        <v>#N/A N/A</v>
        <stp/>
        <stp>BDP|16367398384874059679</stp>
        <tr r="H7" s="1"/>
      </tp>
      <tp t="s">
        <v>#N/A N/A</v>
        <stp/>
        <stp>BDP|13596891605863137719</stp>
        <tr r="Q23" s="1"/>
      </tp>
      <tp t="s">
        <v>#N/A N/A</v>
        <stp/>
        <stp>BDP|17955038346618260472</stp>
        <tr r="S19" s="1"/>
      </tp>
      <tp t="s">
        <v>#N/A N/A</v>
        <stp/>
        <stp>BDP|10721774595409831845</stp>
        <tr r="AF13" s="1"/>
        <tr r="AF14" s="1"/>
      </tp>
      <tp t="s">
        <v>#N/A N/A</v>
        <stp/>
        <stp>BDP|14920923242587251139</stp>
        <tr r="R28" s="1"/>
      </tp>
      <tp t="s">
        <v>#N/A N/A</v>
        <stp/>
        <stp>BDP|14861802893209466341</stp>
        <tr r="R18" s="1"/>
      </tp>
      <tp t="s">
        <v>#N/A N/A</v>
        <stp/>
        <stp>BDP|11796583661518249517</stp>
        <tr r="Y28" s="1"/>
      </tp>
      <tp t="s">
        <v>#N/A N/A</v>
        <stp/>
        <stp>BDP|10468775842584431899</stp>
        <tr r="M10" s="1"/>
      </tp>
      <tp t="s">
        <v>#N/A N/A</v>
        <stp/>
        <stp>BDP|10891256363389919284</stp>
        <tr r="H17" s="1"/>
      </tp>
      <tp t="s">
        <v>#N/A N/A</v>
        <stp/>
        <stp>BDP|15589593340379319209</stp>
        <tr r="N10" s="1"/>
      </tp>
      <tp t="s">
        <v>#N/A N/A</v>
        <stp/>
        <stp>BDP|12447421297457952769</stp>
        <tr r="N7" s="1"/>
      </tp>
      <tp t="s">
        <v>#N/A N/A</v>
        <stp/>
        <stp>BDP|17833810672921346687</stp>
        <tr r="J18" s="1"/>
      </tp>
      <tp t="s">
        <v>#N/A N/A</v>
        <stp/>
        <stp>BDP|16654083339792361878</stp>
        <tr r="AI8" s="1"/>
      </tp>
      <tp t="s">
        <v>#N/A N/A</v>
        <stp/>
        <stp>BDP|16480659093486239039</stp>
        <tr r="L20" s="1"/>
      </tp>
      <tp t="s">
        <v>#N/A N/A</v>
        <stp/>
        <stp>BDP|15479800885743741958</stp>
        <tr r="L22" s="1"/>
      </tp>
      <tp t="s">
        <v>#N/A N/A</v>
        <stp/>
        <stp>BDP|15890534308546200928</stp>
        <tr r="K22" s="1"/>
      </tp>
      <tp t="s">
        <v>#N/A N/A</v>
        <stp/>
        <stp>BDP|11486401606748728268</stp>
        <tr r="X5" s="1"/>
      </tp>
      <tp t="s">
        <v>#N/A N/A</v>
        <stp/>
        <stp>BDP|12124841925587482067</stp>
        <tr r="AM18" s="1"/>
      </tp>
      <tp t="s">
        <v>#N/A N/A</v>
        <stp/>
        <stp>BDP|17596856956756110359</stp>
        <tr r="K16" s="1"/>
      </tp>
      <tp t="s">
        <v>#N/A N/A</v>
        <stp/>
        <stp>BDP|10574404901849712264</stp>
        <tr r="M20" s="1"/>
      </tp>
      <tp t="s">
        <v>#N/A N/A</v>
        <stp/>
        <stp>BDP|14105117433249764014</stp>
        <tr r="K13" s="1"/>
        <tr r="K14" s="1"/>
      </tp>
      <tp t="s">
        <v>#N/A N/A</v>
        <stp/>
        <stp>BDP|10389847823730591552</stp>
        <tr r="AC20" s="1"/>
      </tp>
      <tp t="s">
        <v>#N/A N/A</v>
        <stp/>
        <stp>BDP|12144448860177550878</stp>
        <tr r="K24" s="1"/>
      </tp>
      <tp t="s">
        <v>#N/A N/A</v>
        <stp/>
        <stp>BDP|12031849379275876735</stp>
        <tr r="AG25" s="1"/>
      </tp>
      <tp t="s">
        <v>#N/A N/A</v>
        <stp/>
        <stp>BDP|12029911592878807639</stp>
        <tr r="I19" s="1"/>
      </tp>
      <tp t="s">
        <v>#N/A N/A</v>
        <stp/>
        <stp>BDP|10483880752901722017</stp>
        <tr r="AA18" s="1"/>
      </tp>
      <tp t="s">
        <v>#N/A N/A</v>
        <stp/>
        <stp>BDP|11718551449735340939</stp>
        <tr r="Z19" s="1"/>
      </tp>
      <tp t="s">
        <v>#N/A N/A</v>
        <stp/>
        <stp>BDP|15342965619319792805</stp>
        <tr r="L16" s="1"/>
      </tp>
      <tp t="s">
        <v>#N/A N/A</v>
        <stp/>
        <stp>BDP|13612783026709724345</stp>
        <tr r="AM25" s="1"/>
      </tp>
      <tp t="s">
        <v>#N/A N/A</v>
        <stp/>
        <stp>BDP|12678176498625742333</stp>
        <tr r="G26" s="1"/>
      </tp>
      <tp t="s">
        <v>#N/A N/A</v>
        <stp/>
        <stp>BDP|15650531336338756787</stp>
        <tr r="Y16" s="1"/>
      </tp>
      <tp t="s">
        <v>#N/A N/A</v>
        <stp/>
        <stp>BDP|15804646783642479542</stp>
        <tr r="C17" s="1"/>
      </tp>
      <tp t="s">
        <v>#N/A N/A</v>
        <stp/>
        <stp>BDP|11387779689345255710</stp>
        <tr r="N5" s="1"/>
      </tp>
      <tp t="s">
        <v>#N/A N/A</v>
        <stp/>
        <stp>BDP|18243925996997158399</stp>
        <tr r="B20" s="1"/>
      </tp>
      <tp t="s">
        <v>#N/A N/A</v>
        <stp/>
        <stp>BDP|16491964352504649275</stp>
        <tr r="AM20" s="1"/>
      </tp>
      <tp t="s">
        <v>#N/A N/A</v>
        <stp/>
        <stp>BDP|13569754833738773353</stp>
        <tr r="AL6" s="1"/>
      </tp>
      <tp t="s">
        <v>#N/A N/A</v>
        <stp/>
        <stp>BDP|10952860178336175568</stp>
        <tr r="Y21" s="1"/>
      </tp>
      <tp t="s">
        <v>#N/A N/A</v>
        <stp/>
        <stp>BDP|14257313043466384965</stp>
        <tr r="O24" s="1"/>
      </tp>
      <tp t="s">
        <v>#N/A N/A</v>
        <stp/>
        <stp>BDP|12777967591269169740</stp>
        <tr r="AG11" s="1"/>
      </tp>
      <tp t="s">
        <v>#N/A N/A</v>
        <stp/>
        <stp>BDP|10633005681566005227</stp>
        <tr r="O20" s="1"/>
      </tp>
      <tp t="s">
        <v>#N/A N/A</v>
        <stp/>
        <stp>BDP|15994284105663148816</stp>
        <tr r="AB27" s="1"/>
      </tp>
      <tp t="s">
        <v>#N/A N/A</v>
        <stp/>
        <stp>BDP|14988346533129890126</stp>
        <tr r="G8" s="1"/>
      </tp>
      <tp t="s">
        <v>#N/A N/A</v>
        <stp/>
        <stp>BDP|17660662677319084303</stp>
        <tr r="M9" s="1"/>
      </tp>
      <tp t="s">
        <v>#N/A N/A</v>
        <stp/>
        <stp>BDP|13518662634779841394</stp>
        <tr r="I8" s="1"/>
      </tp>
      <tp t="s">
        <v>#N/A N/A</v>
        <stp/>
        <stp>BDP|15765857404231734181</stp>
        <tr r="R23" s="1"/>
      </tp>
      <tp t="s">
        <v>#N/A N/A</v>
        <stp/>
        <stp>BDP|17392482081136081034</stp>
        <tr r="Y12" s="1"/>
      </tp>
      <tp t="s">
        <v>#N/A N/A</v>
        <stp/>
        <stp>BDP|14169975779507706004</stp>
        <tr r="Z13" s="1"/>
        <tr r="Z14" s="1"/>
      </tp>
      <tp t="s">
        <v>#N/A N/A</v>
        <stp/>
        <stp>BDP|14196611468348222115</stp>
        <tr r="AK25" s="1"/>
      </tp>
      <tp t="s">
        <v>#N/A N/A</v>
        <stp/>
        <stp>BDP|16110501109147501966</stp>
        <tr r="S23" s="1"/>
      </tp>
      <tp t="s">
        <v>#N/A N/A</v>
        <stp/>
        <stp>BDP|17826269985469761960</stp>
        <tr r="AF19" s="1"/>
      </tp>
      <tp t="s">
        <v>#N/A N/A</v>
        <stp/>
        <stp>BDP|14070744031099613495</stp>
        <tr r="AC26" s="1"/>
      </tp>
      <tp t="s">
        <v>#N/A N/A</v>
        <stp/>
        <stp>BDP|12486314194431618482</stp>
        <tr r="V20" s="1"/>
      </tp>
      <tp t="s">
        <v>#N/A N/A</v>
        <stp/>
        <stp>BDP|12245892141060633322</stp>
        <tr r="AM7" s="1"/>
      </tp>
      <tp t="s">
        <v>#N/A N/A</v>
        <stp/>
        <stp>BDP|17890979477125669102</stp>
        <tr r="S27" s="1"/>
      </tp>
      <tp t="s">
        <v>#N/A N/A</v>
        <stp/>
        <stp>BDP|16920774204464331882</stp>
        <tr r="L6" s="1"/>
      </tp>
      <tp t="s">
        <v>#N/A N/A</v>
        <stp/>
        <stp>BDP|10100436522023518842</stp>
        <tr r="I21" s="1"/>
      </tp>
      <tp t="s">
        <v>#N/A N/A</v>
        <stp/>
        <stp>BDP|12024145975310061906</stp>
        <tr r="AJ24" s="1"/>
      </tp>
      <tp t="s">
        <v>#N/A N/A</v>
        <stp/>
        <stp>BDP|16667199932239437094</stp>
        <tr r="R25" s="1"/>
      </tp>
      <tp t="s">
        <v>#N/A N/A</v>
        <stp/>
        <stp>BDP|18208104702642995699</stp>
        <tr r="X18" s="1"/>
      </tp>
      <tp t="s">
        <v>#N/A N/A</v>
        <stp/>
        <stp>BDP|17526221959019441488</stp>
        <tr r="N29" s="1"/>
      </tp>
      <tp t="s">
        <v>#N/A N/A</v>
        <stp/>
        <stp>BDP|18417789049885210351</stp>
        <tr r="B29" s="1"/>
      </tp>
      <tp t="s">
        <v>#N/A N/A</v>
        <stp/>
        <stp>BDP|17844962294413907968</stp>
        <tr r="G29" s="1"/>
      </tp>
      <tp t="s">
        <v>#N/A N/A</v>
        <stp/>
        <stp>BDP|13713135170470169800</stp>
        <tr r="AE25" s="1"/>
      </tp>
      <tp t="s">
        <v>#N/A N/A</v>
        <stp/>
        <stp>BDP|14509159646499361511</stp>
        <tr r="AN8" s="1"/>
      </tp>
      <tp t="s">
        <v>#N/A N/A</v>
        <stp/>
        <stp>BDP|12998622408998487136</stp>
        <tr r="T12" s="1"/>
      </tp>
      <tp t="s">
        <v>#N/A N/A</v>
        <stp/>
        <stp>BDP|11846981936115554372</stp>
        <tr r="F24" s="1"/>
      </tp>
      <tp t="s">
        <v>#N/A N/A</v>
        <stp/>
        <stp>BDP|15334739935724449860</stp>
        <tr r="D27" s="1"/>
      </tp>
      <tp t="s">
        <v>#N/A N/A</v>
        <stp/>
        <stp>BDP|14029509963259305377</stp>
        <tr r="AO27" s="1"/>
      </tp>
      <tp t="s">
        <v>#N/A N/A</v>
        <stp/>
        <stp>BDP|12274707506878635056</stp>
        <tr r="AO6" s="1"/>
      </tp>
      <tp t="s">
        <v>#N/A N/A</v>
        <stp/>
        <stp>BDP|12078971758083910014</stp>
        <tr r="AG10" s="1"/>
      </tp>
      <tp t="s">
        <v>#N/A N/A</v>
        <stp/>
        <stp>BDP|13683607044828094447</stp>
        <tr r="AA8" s="1"/>
      </tp>
      <tp t="s">
        <v>#N/A N/A</v>
        <stp/>
        <stp>BDP|16995260805233010536</stp>
        <tr r="H11" s="1"/>
      </tp>
      <tp t="s">
        <v>#N/A N/A</v>
        <stp/>
        <stp>BDP|18294908426015917446</stp>
        <tr r="AA5" s="1"/>
      </tp>
      <tp t="s">
        <v>#N/A N/A</v>
        <stp/>
        <stp>BDP|17020065501305733093</stp>
        <tr r="AC18" s="1"/>
      </tp>
      <tp t="s">
        <v>#N/A N/A</v>
        <stp/>
        <stp>BDP|18314988653552661461</stp>
        <tr r="Y8" s="1"/>
      </tp>
      <tp t="s">
        <v>#N/A N/A</v>
        <stp/>
        <stp>BDP|17497951096825839079</stp>
        <tr r="P25" s="1"/>
      </tp>
      <tp t="s">
        <v>#N/A N/A</v>
        <stp/>
        <stp>BDP|14468561926704846549</stp>
        <tr r="Z7" s="1"/>
      </tp>
      <tp t="s">
        <v>#N/A N/A</v>
        <stp/>
        <stp>BDP|15002568914721838221</stp>
        <tr r="N15" s="1"/>
      </tp>
      <tp t="s">
        <v>#N/A N/A</v>
        <stp/>
        <stp>BDP|12674799406923103401</stp>
        <tr r="N16" s="1"/>
      </tp>
      <tp t="s">
        <v>#N/A N/A</v>
        <stp/>
        <stp>BDP|15913016621571668470</stp>
        <tr r="X6" s="1"/>
      </tp>
      <tp t="s">
        <v>#N/A N/A</v>
        <stp/>
        <stp>BDP|13446818596497170797</stp>
        <tr r="Y11" s="1"/>
      </tp>
      <tp t="s">
        <v>#N/A N/A</v>
        <stp/>
        <stp>BDP|12674684321084493069</stp>
        <tr r="AH25" s="1"/>
      </tp>
      <tp t="s">
        <v>#N/A N/A</v>
        <stp/>
        <stp>BDP|11419383360442946482</stp>
        <tr r="Q7" s="1"/>
      </tp>
      <tp t="s">
        <v>#N/A N/A</v>
        <stp/>
        <stp>BDP|14517253343657944768</stp>
        <tr r="B11" s="1"/>
      </tp>
      <tp t="s">
        <v>#N/A N/A</v>
        <stp/>
        <stp>BDP|11576162034407927612</stp>
        <tr r="AF11" s="1"/>
      </tp>
      <tp t="s">
        <v>#N/A N/A</v>
        <stp/>
        <stp>BDP|17649514761574087281</stp>
        <tr r="L24" s="1"/>
      </tp>
      <tp t="s">
        <v>#N/A N/A</v>
        <stp/>
        <stp>BDP|16775738859223047535</stp>
        <tr r="AI5" s="1"/>
      </tp>
      <tp t="s">
        <v>#N/A N/A</v>
        <stp/>
        <stp>BDP|15387094279800833056</stp>
        <tr r="AD9" s="1"/>
      </tp>
      <tp t="s">
        <v>#N/A N/A</v>
        <stp/>
        <stp>BDP|15764641454544190072</stp>
        <tr r="R24" s="1"/>
      </tp>
      <tp t="s">
        <v>#N/A Requesting Data...2258298792</v>
        <stp/>
        <stp>BDP|16796159762500738364</stp>
        <tr r="G2" s="1"/>
      </tp>
      <tp t="s">
        <v>#N/A N/A</v>
        <stp/>
        <stp>BDP|16792132251917204765</stp>
        <tr r="F9" s="1"/>
      </tp>
      <tp t="s">
        <v>#N/A N/A</v>
        <stp/>
        <stp>BDP|15327796177102710597</stp>
        <tr r="AB19" s="1"/>
      </tp>
      <tp t="s">
        <v>#N/A N/A</v>
        <stp/>
        <stp>BDP|13071895740964899922</stp>
        <tr r="J7" s="1"/>
      </tp>
      <tp t="s">
        <v>#N/A N/A</v>
        <stp/>
        <stp>BDP|10974789210837631345</stp>
        <tr r="D19" s="1"/>
      </tp>
      <tp t="s">
        <v>#N/A N/A</v>
        <stp/>
        <stp>BDP|12798731481049265651</stp>
        <tr r="AD26" s="1"/>
      </tp>
      <tp t="s">
        <v>#N/A N/A</v>
        <stp/>
        <stp>BDP|15085599927483590393</stp>
        <tr r="V25" s="1"/>
      </tp>
      <tp t="s">
        <v>#N/A N/A</v>
        <stp/>
        <stp>BDP|15133804894126709003</stp>
        <tr r="AN21" s="1"/>
      </tp>
      <tp t="s">
        <v>#N/A N/A</v>
        <stp/>
        <stp>BDP|10789585847260447399</stp>
        <tr r="J25" s="1"/>
      </tp>
      <tp t="s">
        <v>#N/A N/A</v>
        <stp/>
        <stp>BDP|14142325320765484234</stp>
        <tr r="Y22" s="1"/>
      </tp>
      <tp t="s">
        <v>#N/A N/A</v>
        <stp/>
        <stp>BDP|10802302349684164145</stp>
        <tr r="L21" s="1"/>
      </tp>
      <tp t="s">
        <v>#N/A N/A</v>
        <stp/>
        <stp>BDP|13167489944235083490</stp>
        <tr r="AE10" s="1"/>
      </tp>
      <tp t="s">
        <v>#N/A N/A</v>
        <stp/>
        <stp>BDP|16466917894447632309</stp>
        <tr r="C23" s="1"/>
      </tp>
      <tp t="s">
        <v>#N/A N/A</v>
        <stp/>
        <stp>BDP|13101066946332345750</stp>
        <tr r="AD27" s="1"/>
      </tp>
      <tp t="s">
        <v>#N/A N/A</v>
        <stp/>
        <stp>BDP|12652748412952249449</stp>
        <tr r="V6" s="1"/>
      </tp>
      <tp t="s">
        <v>#N/A Requesting Data...2780157558</v>
        <stp/>
        <stp>BDP|12314412244432886286</stp>
        <tr r="L2" s="1"/>
      </tp>
      <tp t="s">
        <v>#N/A N/A</v>
        <stp/>
        <stp>BDP|18009966069872717614</stp>
        <tr r="J29" s="1"/>
      </tp>
      <tp t="s">
        <v>#N/A N/A</v>
        <stp/>
        <stp>BDP|17858512170712217428</stp>
        <tr r="W13" s="1"/>
        <tr r="W14" s="1"/>
      </tp>
      <tp t="s">
        <v>#N/A N/A</v>
        <stp/>
        <stp>BDP|11647579769439923885</stp>
        <tr r="AK17" s="1"/>
      </tp>
      <tp t="s">
        <v>#N/A N/A</v>
        <stp/>
        <stp>BDP|12069553791259561482</stp>
        <tr r="Y20" s="1"/>
      </tp>
      <tp t="s">
        <v>#N/A N/A</v>
        <stp/>
        <stp>BDP|13754982275726420864</stp>
        <tr r="G14" s="1"/>
        <tr r="G13" s="1"/>
      </tp>
      <tp t="s">
        <v>#N/A N/A</v>
        <stp/>
        <stp>BDP|17779767291179931317</stp>
        <tr r="AE23" s="1"/>
      </tp>
      <tp t="s">
        <v>#N/A N/A</v>
        <stp/>
        <stp>BDP|14467379687398964461</stp>
        <tr r="AO29" s="1"/>
      </tp>
      <tp t="s">
        <v>#N/A N/A</v>
        <stp/>
        <stp>BDP|18329978435043853226</stp>
        <tr r="Z10" s="1"/>
      </tp>
      <tp t="s">
        <v>#N/A N/A</v>
        <stp/>
        <stp>BDP|16926132697178273549</stp>
        <tr r="AO20" s="1"/>
      </tp>
      <tp t="s">
        <v>#N/A N/A</v>
        <stp/>
        <stp>BDP|11399440859422175144</stp>
        <tr r="AF21" s="1"/>
      </tp>
      <tp t="s">
        <v>#N/A N/A</v>
        <stp/>
        <stp>BDP|13969088154942917773</stp>
        <tr r="AF24" s="1"/>
      </tp>
      <tp t="s">
        <v>#N/A Requesting Data...3584999580</v>
        <stp/>
        <stp>BDP|14108457316342034087</stp>
        <tr r="O2" s="1"/>
      </tp>
      <tp t="s">
        <v>#N/A N/A</v>
        <stp/>
        <stp>BDP|10274127456890911733</stp>
        <tr r="AJ7" s="1"/>
      </tp>
      <tp t="s">
        <v>#N/A N/A</v>
        <stp/>
        <stp>BDP|11251053537843806247</stp>
        <tr r="T23" s="1"/>
      </tp>
      <tp t="s">
        <v>#N/A N/A</v>
        <stp/>
        <stp>BDP|13952533064793569048</stp>
        <tr r="I11" s="1"/>
      </tp>
      <tp t="s">
        <v>#N/A N/A</v>
        <stp/>
        <stp>BDP|12722574674433819032</stp>
        <tr r="R19" s="1"/>
      </tp>
      <tp t="s">
        <v>#N/A N/A</v>
        <stp/>
        <stp>BDP|11112222238036225567</stp>
        <tr r="I5" s="1"/>
      </tp>
      <tp t="s">
        <v>#N/A N/A</v>
        <stp/>
        <stp>BDP|12531452329436013172</stp>
        <tr r="W27" s="1"/>
      </tp>
      <tp t="s">
        <v>#N/A Requesting Data...1284060739</v>
        <stp/>
        <stp>BDP|14456175070839195830</stp>
        <tr r="AH2" s="1"/>
      </tp>
      <tp t="s">
        <v>#N/A N/A</v>
        <stp/>
        <stp>BDP|13306188761335821210</stp>
        <tr r="U7" s="1"/>
      </tp>
      <tp t="s">
        <v>#N/A N/A</v>
        <stp/>
        <stp>BDP|10940858489626145565</stp>
        <tr r="AC9" s="1"/>
      </tp>
      <tp t="s">
        <v>#N/A N/A</v>
        <stp/>
        <stp>BDP|15363647947746766259</stp>
        <tr r="F10" s="1"/>
      </tp>
      <tp t="s">
        <v>#N/A N/A</v>
        <stp/>
        <stp>BDP|14320603763205124237</stp>
        <tr r="AH28" s="1"/>
      </tp>
      <tp t="s">
        <v>#N/A N/A</v>
        <stp/>
        <stp>BDP|10196696945489924815</stp>
        <tr r="AM15" s="1"/>
      </tp>
      <tp t="s">
        <v>#N/A N/A</v>
        <stp/>
        <stp>BDP|18414498022639328499</stp>
        <tr r="L25" s="1"/>
      </tp>
      <tp t="s">
        <v>#N/A N/A</v>
        <stp/>
        <stp>BDP|14501148071064449504</stp>
        <tr r="AA21" s="1"/>
      </tp>
      <tp t="s">
        <v>#N/A N/A</v>
        <stp/>
        <stp>BDP|13992573717221967574</stp>
        <tr r="AJ23" s="1"/>
      </tp>
      <tp t="s">
        <v>#N/A N/A</v>
        <stp/>
        <stp>BDP|18072106981697149570</stp>
        <tr r="O11" s="1"/>
      </tp>
      <tp t="s">
        <v>#N/A N/A</v>
        <stp/>
        <stp>BDP|17712475864483127527</stp>
        <tr r="L5" s="1"/>
      </tp>
      <tp t="s">
        <v>#N/A N/A</v>
        <stp/>
        <stp>BDP|14558591759672466577</stp>
        <tr r="T17" s="1"/>
      </tp>
      <tp t="s">
        <v>#N/A N/A</v>
        <stp/>
        <stp>BDP|14178284752189583989</stp>
        <tr r="V10" s="1"/>
      </tp>
      <tp t="s">
        <v>#N/A N/A</v>
        <stp/>
        <stp>BDP|13499297245473829697</stp>
        <tr r="AD28" s="1"/>
      </tp>
      <tp t="s">
        <v>#N/A N/A</v>
        <stp/>
        <stp>BDP|11547095811595027540</stp>
        <tr r="X27" s="1"/>
      </tp>
      <tp t="s">
        <v>#N/A N/A</v>
        <stp/>
        <stp>BDP|17611658880580368987</stp>
        <tr r="E9" s="1"/>
      </tp>
      <tp t="s">
        <v>#N/A N/A</v>
        <stp/>
        <stp>BDP|10355754706157857009</stp>
        <tr r="M26" s="1"/>
      </tp>
      <tp t="s">
        <v>#N/A N/A</v>
        <stp/>
        <stp>BDP|11126539558240298103</stp>
        <tr r="E13" s="1"/>
        <tr r="E14" s="1"/>
      </tp>
      <tp t="s">
        <v>#N/A N/A</v>
        <stp/>
        <stp>BDP|14632632126565327586</stp>
        <tr r="G5" s="1"/>
      </tp>
      <tp t="s">
        <v>#N/A Requesting Data...4204557965</v>
        <stp/>
        <stp>BDP|14484192524774184338</stp>
        <tr r="AN2" s="1"/>
      </tp>
      <tp t="s">
        <v>#N/A N/A</v>
        <stp/>
        <stp>BDP|11249411478311587327</stp>
        <tr r="AK29" s="1"/>
      </tp>
      <tp t="s">
        <v>#N/A N/A</v>
        <stp/>
        <stp>BDP|11124720168045284555</stp>
        <tr r="T7" s="1"/>
      </tp>
      <tp t="s">
        <v>#N/A N/A</v>
        <stp/>
        <stp>BDP|14149035171582717180</stp>
        <tr r="X19" s="1"/>
      </tp>
      <tp t="s">
        <v>#N/A N/A</v>
        <stp/>
        <stp>BDP|13640473256592849019</stp>
        <tr r="AL28" s="1"/>
      </tp>
      <tp t="s">
        <v>#N/A N/A</v>
        <stp/>
        <stp>BDP|13403838784700834358</stp>
        <tr r="AI12" s="1"/>
      </tp>
      <tp t="s">
        <v>#N/A N/A</v>
        <stp/>
        <stp>BDP|15661434306887101636</stp>
        <tr r="H6" s="1"/>
      </tp>
      <tp t="s">
        <v>#N/A N/A</v>
        <stp/>
        <stp>BDP|16193650782909390158</stp>
        <tr r="AD18" s="1"/>
      </tp>
      <tp t="s">
        <v>#N/A N/A</v>
        <stp/>
        <stp>BDP|10468067652364351131</stp>
        <tr r="Q13" s="1"/>
        <tr r="Q14" s="1"/>
      </tp>
      <tp t="s">
        <v>#N/A N/A</v>
        <stp/>
        <stp>BDP|15198717026245733522</stp>
        <tr r="Z6" s="1"/>
      </tp>
      <tp t="s">
        <v>#N/A N/A</v>
        <stp/>
        <stp>BDP|18223375847279006613</stp>
        <tr r="W17" s="1"/>
      </tp>
      <tp t="s">
        <v>#N/A N/A</v>
        <stp/>
        <stp>BDP|17193684319297723755</stp>
        <tr r="AJ22" s="1"/>
      </tp>
      <tp t="s">
        <v>#N/A N/A</v>
        <stp/>
        <stp>BDP|18237452003875100901</stp>
        <tr r="AK24" s="1"/>
      </tp>
      <tp t="s">
        <v>#N/A N/A</v>
        <stp/>
        <stp>BDP|10355635806084014232</stp>
        <tr r="L18" s="1"/>
      </tp>
      <tp t="s">
        <v>#N/A N/A</v>
        <stp/>
        <stp>BDP|16251893725764267891</stp>
        <tr r="AG22" s="1"/>
      </tp>
      <tp t="s">
        <v>#N/A N/A</v>
        <stp/>
        <stp>BDP|17754583640322210480</stp>
        <tr r="V16" s="1"/>
      </tp>
      <tp t="s">
        <v>#N/A N/A</v>
        <stp/>
        <stp>BDP|17164136197228900780</stp>
        <tr r="AG7" s="1"/>
      </tp>
      <tp t="s">
        <v>#N/A N/A</v>
        <stp/>
        <stp>BDP|16038371845318502937</stp>
        <tr r="X15" s="1"/>
      </tp>
      <tp t="s">
        <v>#N/A N/A</v>
        <stp/>
        <stp>BDP|17029736966603012523</stp>
        <tr r="U26" s="1"/>
      </tp>
      <tp t="s">
        <v>#N/A N/A</v>
        <stp/>
        <stp>BDP|12436210414054078562</stp>
        <tr r="AH10" s="1"/>
      </tp>
      <tp t="s">
        <v>#N/A Requesting Data...2897405824</v>
        <stp/>
        <stp>BDP|15445293081716234988</stp>
        <tr r="AE2" s="1"/>
      </tp>
      <tp t="s">
        <v>#N/A N/A</v>
        <stp/>
        <stp>BDP|14880394820693085678</stp>
        <tr r="M19" s="1"/>
      </tp>
      <tp t="s">
        <v>#N/A N/A</v>
        <stp/>
        <stp>BDP|17601916296084184297</stp>
        <tr r="L17" s="1"/>
      </tp>
      <tp t="s">
        <v>#N/A N/A</v>
        <stp/>
        <stp>BDP|16385466401404489788</stp>
        <tr r="AK6" s="1"/>
      </tp>
      <tp t="s">
        <v>#N/A N/A</v>
        <stp/>
        <stp>BDP|12109900917679728299</stp>
        <tr r="AG17" s="1"/>
      </tp>
      <tp t="s">
        <v>#N/A N/A</v>
        <stp/>
        <stp>BDP|12589530458792593136</stp>
        <tr r="J5" s="1"/>
      </tp>
      <tp t="s">
        <v>#N/A N/A</v>
        <stp/>
        <stp>BDP|13811214976532750537</stp>
        <tr r="B25" s="1"/>
      </tp>
      <tp t="s">
        <v>#N/A N/A</v>
        <stp/>
        <stp>BDP|15327485754372702723</stp>
        <tr r="H8" s="1"/>
      </tp>
      <tp t="s">
        <v>#N/A N/A</v>
        <stp/>
        <stp>BDP|11470463210392853773</stp>
        <tr r="E29" s="1"/>
      </tp>
      <tp t="s">
        <v>#N/A N/A</v>
        <stp/>
        <stp>BDP|10140272261291879438</stp>
        <tr r="Z26" s="1"/>
      </tp>
      <tp t="s">
        <v>#N/A N/A</v>
        <stp/>
        <stp>BDP|17975287369006363476</stp>
        <tr r="J20" s="1"/>
      </tp>
      <tp t="s">
        <v>#N/A N/A</v>
        <stp/>
        <stp>BDP|13830396738261363366</stp>
        <tr r="V19" s="1"/>
      </tp>
      <tp t="s">
        <v>#N/A N/A</v>
        <stp/>
        <stp>BDP|16777317073705191688</stp>
        <tr r="G28" s="1"/>
      </tp>
      <tp t="s">
        <v>#N/A N/A</v>
        <stp/>
        <stp>BDP|11843273540925736372</stp>
        <tr r="AI11" s="1"/>
      </tp>
      <tp t="s">
        <v>#N/A N/A</v>
        <stp/>
        <stp>BDP|18279113801809480191</stp>
        <tr r="AH7" s="1"/>
      </tp>
      <tp t="s">
        <v>#N/A N/A</v>
        <stp/>
        <stp>BDP|16342549185178961250</stp>
        <tr r="Z20" s="1"/>
      </tp>
      <tp t="s">
        <v>#N/A N/A</v>
        <stp/>
        <stp>BDP|14374952530877065887</stp>
        <tr r="AO9" s="1"/>
      </tp>
      <tp t="s">
        <v>#N/A N/A</v>
        <stp/>
        <stp>BDP|10148250091259322384</stp>
        <tr r="C28" s="1"/>
      </tp>
      <tp t="s">
        <v>#N/A N/A</v>
        <stp/>
        <stp>BDP|10706615312022044447</stp>
        <tr r="X9" s="1"/>
      </tp>
      <tp t="s">
        <v>#N/A N/A</v>
        <stp/>
        <stp>BDP|11403029740204118041</stp>
        <tr r="U28" s="1"/>
      </tp>
      <tp t="s">
        <v>#N/A N/A</v>
        <stp/>
        <stp>BDP|14662774776692350768</stp>
        <tr r="AD20" s="1"/>
      </tp>
      <tp t="s">
        <v>#N/A N/A</v>
        <stp/>
        <stp>BDP|12720128485713449961</stp>
        <tr r="AA27" s="1"/>
      </tp>
      <tp t="s">
        <v>#N/A N/A</v>
        <stp/>
        <stp>BDP|17385409742435492371</stp>
        <tr r="U5" s="1"/>
      </tp>
      <tp t="s">
        <v>#N/A N/A</v>
        <stp/>
        <stp>BDP|14135709567916782267</stp>
        <tr r="J19" s="1"/>
      </tp>
      <tp t="s">
        <v>#N/A N/A</v>
        <stp/>
        <stp>BDP|10372374722203242333</stp>
        <tr r="AH21" s="1"/>
      </tp>
      <tp t="s">
        <v>#N/A N/A</v>
        <stp/>
        <stp>BDP|13335611981018686433</stp>
        <tr r="AF22" s="1"/>
      </tp>
      <tp t="s">
        <v>#N/A N/A</v>
        <stp/>
        <stp>BDP|10636699405832253218</stp>
        <tr r="AJ13" s="1"/>
        <tr r="AJ14" s="1"/>
      </tp>
      <tp t="s">
        <v>#N/A N/A</v>
        <stp/>
        <stp>BDP|17662314425136803636</stp>
        <tr r="F14" s="1"/>
        <tr r="F13" s="1"/>
      </tp>
      <tp t="s">
        <v>#N/A N/A</v>
        <stp/>
        <stp>BDP|12919515881761019819</stp>
        <tr r="G22" s="1"/>
      </tp>
      <tp t="s">
        <v>#N/A N/A</v>
        <stp/>
        <stp>BDP|15005328628465635740</stp>
        <tr r="D20" s="1"/>
      </tp>
      <tp t="s">
        <v>#N/A N/A</v>
        <stp/>
        <stp>BDP|16869942611771387965</stp>
        <tr r="C25" s="1"/>
      </tp>
      <tp t="s">
        <v>#N/A N/A</v>
        <stp/>
        <stp>BDP|16534413202911891560</stp>
        <tr r="K10" s="1"/>
      </tp>
      <tp t="s">
        <v>#N/A N/A</v>
        <stp/>
        <stp>BDP|17211357310604400781</stp>
        <tr r="T6" s="1"/>
      </tp>
      <tp t="s">
        <v>#N/A N/A</v>
        <stp/>
        <stp>BDP|11067505618006484566</stp>
        <tr r="J12" s="1"/>
      </tp>
      <tp t="s">
        <v>#N/A N/A</v>
        <stp/>
        <stp>BDP|15065964006768472295</stp>
        <tr r="R20" s="1"/>
      </tp>
      <tp t="s">
        <v>#N/A N/A</v>
        <stp/>
        <stp>BDP|14782525308233021414</stp>
        <tr r="AE29" s="1"/>
      </tp>
      <tp t="s">
        <v>#N/A N/A</v>
        <stp/>
        <stp>BDP|17394796278732449390</stp>
        <tr r="AN7" s="1"/>
      </tp>
      <tp t="s">
        <v>#N/A N/A</v>
        <stp/>
        <stp>BDP|13704343559337660437</stp>
        <tr r="E10" s="1"/>
      </tp>
      <tp t="s">
        <v>#N/A N/A</v>
        <stp/>
        <stp>BDP|11819145034946379354</stp>
        <tr r="AJ15" s="1"/>
      </tp>
      <tp t="s">
        <v>#N/A N/A</v>
        <stp/>
        <stp>BDP|17013055937732516093</stp>
        <tr r="X8" s="1"/>
      </tp>
      <tp t="s">
        <v>#N/A N/A</v>
        <stp/>
        <stp>BDP|13334274785036965992</stp>
        <tr r="AH16" s="1"/>
      </tp>
      <tp t="s">
        <v>#N/A N/A</v>
        <stp/>
        <stp>BDP|11853112153142306181</stp>
        <tr r="E25" s="1"/>
      </tp>
      <tp t="s">
        <v>#N/A N/A</v>
        <stp/>
        <stp>BDP|18090911362349500860</stp>
        <tr r="H22" s="1"/>
      </tp>
      <tp t="s">
        <v>#N/A N/A</v>
        <stp/>
        <stp>BDP|10246028434130662522</stp>
        <tr r="D22" s="1"/>
      </tp>
      <tp t="s">
        <v>#N/A N/A</v>
        <stp/>
        <stp>BDP|16697433822914540228</stp>
        <tr r="K15" s="1"/>
      </tp>
      <tp t="s">
        <v>#N/A N/A</v>
        <stp/>
        <stp>BDP|10458035328280794486</stp>
        <tr r="AJ10" s="1"/>
      </tp>
      <tp t="s">
        <v>#N/A N/A</v>
        <stp/>
        <stp>BDP|16392376163647402204</stp>
        <tr r="W20" s="1"/>
      </tp>
      <tp t="s">
        <v>#N/A Requesting Data...1564453351</v>
        <stp/>
        <stp>BDP|12736177494675784909</stp>
        <tr r="P2" s="1"/>
      </tp>
      <tp t="s">
        <v>#N/A N/A</v>
        <stp/>
        <stp>BDP|13780863113838571445</stp>
        <tr r="L15" s="1"/>
      </tp>
      <tp t="s">
        <v>#N/A N/A</v>
        <stp/>
        <stp>BDP|14059542334997477360</stp>
        <tr r="S22" s="1"/>
      </tp>
      <tp t="s">
        <v>#N/A N/A</v>
        <stp/>
        <stp>BDP|13006891285243797696</stp>
        <tr r="AO17" s="1"/>
      </tp>
      <tp t="s">
        <v>#N/A N/A</v>
        <stp/>
        <stp>BDP|12059208031194310101</stp>
        <tr r="O26" s="1"/>
      </tp>
      <tp t="s">
        <v>#N/A Requesting Data...3681908168</v>
        <stp/>
        <stp>BDP|16134602577246505768</stp>
        <tr r="U2" s="1"/>
      </tp>
      <tp t="s">
        <v>#N/A N/A</v>
        <stp/>
        <stp>BDP|15067336756970325536</stp>
        <tr r="E11" s="1"/>
      </tp>
      <tp t="s">
        <v>#N/A N/A</v>
        <stp/>
        <stp>BDP|11444091539780055410</stp>
        <tr r="AM29" s="1"/>
      </tp>
      <tp t="s">
        <v>#N/A N/A</v>
        <stp/>
        <stp>BDP|17830430574570204297</stp>
        <tr r="Z18" s="1"/>
      </tp>
      <tp t="s">
        <v>#N/A N/A</v>
        <stp/>
        <stp>BDP|11280063775534741411</stp>
        <tr r="O21" s="1"/>
      </tp>
      <tp t="s">
        <v>#N/A N/A</v>
        <stp/>
        <stp>BDP|15572047736827704773</stp>
        <tr r="AJ19" s="1"/>
      </tp>
      <tp t="s">
        <v>#N/A N/A</v>
        <stp/>
        <stp>BDP|17061368645080377660</stp>
        <tr r="AG24" s="1"/>
      </tp>
      <tp t="s">
        <v>#N/A N/A</v>
        <stp/>
        <stp>BDP|17583107684711488933</stp>
        <tr r="AM24" s="1"/>
      </tp>
      <tp t="s">
        <v>#N/A N/A</v>
        <stp/>
        <stp>BDP|10371234950476018687</stp>
        <tr r="AF28" s="1"/>
      </tp>
      <tp t="s">
        <v>#N/A N/A</v>
        <stp/>
        <stp>BDP|12753706339638544934</stp>
        <tr r="AE8" s="1"/>
      </tp>
      <tp t="s">
        <v>#N/A N/A</v>
        <stp/>
        <stp>BDP|14092331115774543583</stp>
        <tr r="O16" s="1"/>
      </tp>
      <tp t="s">
        <v>#N/A N/A</v>
        <stp/>
        <stp>BDP|10333495824239341863</stp>
        <tr r="W18" s="1"/>
      </tp>
      <tp t="s">
        <v>#N/A N/A</v>
        <stp/>
        <stp>BDP|15972210535563170074</stp>
        <tr r="P7" s="1"/>
      </tp>
      <tp t="s">
        <v>#N/A N/A</v>
        <stp/>
        <stp>BDP|12549407189541103863</stp>
        <tr r="AE24" s="1"/>
      </tp>
      <tp t="s">
        <v>#N/A N/A</v>
        <stp/>
        <stp>BDP|18298936749860370204</stp>
        <tr r="AB6" s="1"/>
      </tp>
      <tp t="s">
        <v>#N/A N/A</v>
        <stp/>
        <stp>BDP|12054494782990451952</stp>
        <tr r="K7" s="1"/>
      </tp>
      <tp t="s">
        <v>#N/A N/A</v>
        <stp/>
        <stp>BDP|14390503571711164094</stp>
        <tr r="B28" s="1"/>
      </tp>
      <tp t="s">
        <v>#N/A N/A</v>
        <stp/>
        <stp>BDP|17288460056126076780</stp>
        <tr r="AO19" s="1"/>
      </tp>
      <tp t="s">
        <v>#N/A N/A</v>
        <stp/>
        <stp>BDP|12817239620210035555</stp>
        <tr r="AD25" s="1"/>
      </tp>
      <tp t="s">
        <v>#N/A N/A</v>
        <stp/>
        <stp>BDP|17115577676047403554</stp>
        <tr r="AB12" s="1"/>
      </tp>
      <tp t="s">
        <v>#N/A N/A</v>
        <stp/>
        <stp>BDP|10705701191109047072</stp>
        <tr r="Q24" s="1"/>
      </tp>
      <tp t="s">
        <v>#N/A N/A</v>
        <stp/>
        <stp>BDP|12502722186473764975</stp>
        <tr r="Q21" s="1"/>
      </tp>
      <tp t="s">
        <v>#N/A N/A</v>
        <stp/>
        <stp>BDP|11488523323398246973</stp>
        <tr r="I26" s="1"/>
      </tp>
      <tp t="s">
        <v>#N/A N/A</v>
        <stp/>
        <stp>BDP|12788353215456740108</stp>
        <tr r="AB11" s="1"/>
      </tp>
      <tp t="s">
        <v>#N/A N/A</v>
        <stp/>
        <stp>BDP|12267348693106441919</stp>
        <tr r="R8" s="1"/>
      </tp>
      <tp t="s">
        <v>#N/A N/A</v>
        <stp/>
        <stp>BDP|15282379372110313646</stp>
        <tr r="C19" s="1"/>
      </tp>
      <tp t="s">
        <v>#N/A N/A</v>
        <stp/>
        <stp>BDP|13117837593022421769</stp>
        <tr r="O7" s="1"/>
      </tp>
      <tp t="s">
        <v>#N/A N/A</v>
        <stp/>
        <stp>BDP|14072533921517566344</stp>
        <tr r="F23" s="1"/>
      </tp>
      <tp t="s">
        <v>#N/A N/A</v>
        <stp/>
        <stp>BDP|14124365488228921050</stp>
        <tr r="C7" s="1"/>
      </tp>
      <tp t="s">
        <v>#N/A N/A</v>
        <stp/>
        <stp>BDP|11926283414200372551</stp>
        <tr r="AC15" s="1"/>
      </tp>
      <tp t="s">
        <v>#N/A N/A</v>
        <stp/>
        <stp>BDP|11409934335304926881</stp>
        <tr r="P6" s="1"/>
      </tp>
      <tp t="s">
        <v>#N/A N/A</v>
        <stp/>
        <stp>BDP|14554345318282223398</stp>
        <tr r="AC23" s="1"/>
      </tp>
      <tp t="s">
        <v>#N/A N/A</v>
        <stp/>
        <stp>BDP|11796967788055293292</stp>
        <tr r="AC10" s="1"/>
      </tp>
      <tp t="s">
        <v>#N/A N/A</v>
        <stp/>
        <stp>BDP|10459712611053436258</stp>
        <tr r="T8" s="1"/>
      </tp>
      <tp t="s">
        <v>#N/A N/A</v>
        <stp/>
        <stp>BDP|17776696431383381686</stp>
        <tr r="AD10" s="1"/>
      </tp>
      <tp t="s">
        <v>#N/A N/A</v>
        <stp/>
        <stp>BDP|15248209728194694680</stp>
        <tr r="L27" s="1"/>
      </tp>
      <tp t="s">
        <v>#N/A N/A</v>
        <stp/>
        <stp>BDP|13714820518939248494</stp>
        <tr r="AI25" s="1"/>
      </tp>
      <tp t="s">
        <v>#N/A N/A</v>
        <stp/>
        <stp>BDP|12779747709070010133</stp>
        <tr r="G18" s="1"/>
      </tp>
      <tp t="s">
        <v>#N/A N/A</v>
        <stp/>
        <stp>BDP|12847422620451117122</stp>
        <tr r="E24" s="1"/>
      </tp>
      <tp t="s">
        <v>#N/A N/A</v>
        <stp/>
        <stp>BDP|11109557626612285080</stp>
        <tr r="AC12" s="1"/>
      </tp>
      <tp t="s">
        <v>#N/A N/A</v>
        <stp/>
        <stp>BDP|15025409522531890624</stp>
        <tr r="AK27" s="1"/>
      </tp>
      <tp t="s">
        <v>#N/A N/A</v>
        <stp/>
        <stp>BDP|15353909109360860896</stp>
        <tr r="AB21" s="1"/>
      </tp>
      <tp t="s">
        <v>#N/A N/A</v>
        <stp/>
        <stp>BDP|14385263284819965339</stp>
        <tr r="Q8" s="1"/>
      </tp>
      <tp t="s">
        <v>#N/A N/A</v>
        <stp/>
        <stp>BDP|13324089354545710722</stp>
        <tr r="AN17" s="1"/>
      </tp>
      <tp t="s">
        <v>#N/A N/A</v>
        <stp/>
        <stp>BDP|17585797547452648278</stp>
        <tr r="S11" s="1"/>
      </tp>
      <tp t="s">
        <v>#N/A N/A</v>
        <stp/>
        <stp>BDP|15995441773326700453</stp>
        <tr r="U15" s="1"/>
      </tp>
      <tp t="s">
        <v>#N/A N/A</v>
        <stp/>
        <stp>BDP|11584448319163001347</stp>
        <tr r="J24" s="1"/>
      </tp>
      <tp t="s">
        <v>#N/A N/A</v>
        <stp/>
        <stp>BDP|18438920349120503158</stp>
        <tr r="Q16" s="1"/>
      </tp>
      <tp t="s">
        <v>#N/A N/A</v>
        <stp/>
        <stp>BDP|17373796924997142101</stp>
        <tr r="AG21" s="1"/>
      </tp>
      <tp t="s">
        <v>#N/A N/A</v>
        <stp/>
        <stp>BDP|17219401305754931311</stp>
        <tr r="AA24" s="1"/>
      </tp>
      <tp t="s">
        <v>#N/A N/A</v>
        <stp/>
        <stp>BDP|14251455958458127906</stp>
        <tr r="AI21" s="1"/>
      </tp>
      <tp t="s">
        <v>#N/A N/A</v>
        <stp/>
        <stp>BDP|13051050973211058186</stp>
        <tr r="O13" s="1"/>
        <tr r="O14" s="1"/>
      </tp>
      <tp t="s">
        <v>#N/A N/A</v>
        <stp/>
        <stp>BDP|16225428461838343838</stp>
        <tr r="AF8" s="1"/>
      </tp>
      <tp t="s">
        <v>#N/A N/A</v>
        <stp/>
        <stp>BDP|15540227192303796939</stp>
        <tr r="AD11" s="1"/>
      </tp>
      <tp t="s">
        <v>#N/A Requesting Data...3613082572</v>
        <stp/>
        <stp>BDP|17288902412688443343</stp>
        <tr r="AD2" s="1"/>
      </tp>
      <tp t="s">
        <v>#N/A N/A</v>
        <stp/>
        <stp>BDP|10755628256751265614</stp>
        <tr r="C10" s="1"/>
      </tp>
      <tp t="s">
        <v>#N/A N/A</v>
        <stp/>
        <stp>BDP|12699415448456719086</stp>
        <tr r="AM28" s="1"/>
      </tp>
      <tp t="s">
        <v>#N/A N/A</v>
        <stp/>
        <stp>BDP|10200730611381838382</stp>
        <tr r="R21" s="1"/>
      </tp>
      <tp t="s">
        <v>#N/A N/A</v>
        <stp/>
        <stp>BDP|17009435543466169529</stp>
        <tr r="K19" s="1"/>
      </tp>
      <tp t="s">
        <v>#N/A N/A</v>
        <stp/>
        <stp>BDP|13679621067024915395</stp>
        <tr r="Q28" s="1"/>
      </tp>
      <tp t="s">
        <v>#N/A Requesting Data...2510704326</v>
        <stp/>
        <stp>BDP|10585306509187627099</stp>
        <tr r="AC2" s="1"/>
      </tp>
      <tp t="s">
        <v>#N/A N/A</v>
        <stp/>
        <stp>BDP|11860180640230357015</stp>
        <tr r="U24" s="1"/>
      </tp>
      <tp t="s">
        <v>#N/A N/A</v>
        <stp/>
        <stp>BDP|10342900603835139844</stp>
        <tr r="B18" s="1"/>
      </tp>
      <tp t="s">
        <v>#N/A N/A</v>
        <stp/>
        <stp>BDP|13218227971267629521</stp>
        <tr r="AD15" s="1"/>
      </tp>
      <tp t="s">
        <v>#N/A N/A</v>
        <stp/>
        <stp>BDP|11371138106371031539</stp>
        <tr r="AA19" s="1"/>
      </tp>
      <tp t="s">
        <v>#N/A N/A</v>
        <stp/>
        <stp>BDP|16025238682819354171</stp>
        <tr r="AA23" s="1"/>
      </tp>
      <tp t="s">
        <v>#N/A N/A</v>
        <stp/>
        <stp>BDP|16336335728233957044</stp>
        <tr r="AG8" s="1"/>
      </tp>
      <tp t="s">
        <v>#N/A N/A</v>
        <stp/>
        <stp>BDP|10060464118285964439</stp>
        <tr r="U22" s="1"/>
      </tp>
      <tp t="s">
        <v>#N/A N/A</v>
        <stp/>
        <stp>BDP|16348486710541993657</stp>
        <tr r="AA16" s="1"/>
      </tp>
      <tp t="s">
        <v>#N/A N/A</v>
        <stp/>
        <stp>BDP|13374476622585089411</stp>
        <tr r="S24" s="1"/>
      </tp>
      <tp t="s">
        <v>#N/A N/A</v>
        <stp/>
        <stp>BDP|17856151738665774454</stp>
        <tr r="AF17" s="1"/>
      </tp>
      <tp t="s">
        <v>#N/A N/A</v>
        <stp/>
        <stp>BDP|12628363012362091640</stp>
        <tr r="AA13" s="1"/>
        <tr r="AA14" s="1"/>
      </tp>
      <tp t="s">
        <v>#N/A N/A</v>
        <stp/>
        <stp>BDP|13634522110603795056</stp>
        <tr r="AI26" s="1"/>
      </tp>
      <tp t="s">
        <v>#N/A N/A</v>
        <stp/>
        <stp>BDP|17621273702318786924</stp>
        <tr r="G17" s="1"/>
      </tp>
      <tp t="s">
        <v>#N/A N/A</v>
        <stp/>
        <stp>BDP|17629410677427783718</stp>
        <tr r="AB16" s="1"/>
      </tp>
      <tp t="s">
        <v>#N/A N/A</v>
        <stp/>
        <stp>BDP|10165904836089367720</stp>
        <tr r="AL9" s="1"/>
      </tp>
      <tp t="s">
        <v>#N/A N/A</v>
        <stp/>
        <stp>BDP|17252691052549862888</stp>
        <tr r="P9" s="1"/>
      </tp>
      <tp t="s">
        <v>#N/A N/A</v>
        <stp/>
        <stp>BDP|13033614906862803270</stp>
        <tr r="AI16" s="1"/>
      </tp>
      <tp t="s">
        <v>#N/A Requesting Data...1819841029</v>
        <stp/>
        <stp>BDP|13023296315165305071</stp>
        <tr r="AG2" s="1"/>
      </tp>
      <tp t="s">
        <v>#N/A N/A</v>
        <stp/>
        <stp>BDP|15473285028067697793</stp>
        <tr r="H26" s="1"/>
      </tp>
      <tp t="s">
        <v>#N/A N/A</v>
        <stp/>
        <stp>BDP|11029939394043450788</stp>
        <tr r="AD29" s="1"/>
      </tp>
      <tp t="s">
        <v>#N/A N/A</v>
        <stp/>
        <stp>BDP|12291497570816836280</stp>
        <tr r="Q19" s="1"/>
      </tp>
      <tp t="s">
        <v>#N/A N/A</v>
        <stp/>
        <stp>BDP|17586736973454867673</stp>
        <tr r="D18" s="1"/>
      </tp>
      <tp t="s">
        <v>#N/A N/A</v>
        <stp/>
        <stp>BDP|14125909286872429293</stp>
        <tr r="J8" s="1"/>
      </tp>
      <tp t="s">
        <v>#N/A N/A</v>
        <stp/>
        <stp>BDP|17303657733476145198</stp>
        <tr r="M24" s="1"/>
      </tp>
      <tp t="s">
        <v>#N/A N/A</v>
        <stp/>
        <stp>BDP|14564562198629607418</stp>
        <tr r="Q15" s="1"/>
      </tp>
      <tp t="s">
        <v>#N/A N/A</v>
        <stp/>
        <stp>BDP|10791206954770601290</stp>
        <tr r="K21" s="1"/>
      </tp>
      <tp t="s">
        <v>#N/A N/A</v>
        <stp/>
        <stp>BDP|16302015178325224174</stp>
        <tr r="I18" s="1"/>
      </tp>
      <tp t="s">
        <v>#N/A N/A</v>
        <stp/>
        <stp>BDP|11319781024675062406</stp>
        <tr r="AM11" s="1"/>
      </tp>
      <tp t="s">
        <v>#N/A N/A</v>
        <stp/>
        <stp>BDP|12155592608223279139</stp>
        <tr r="AA12" s="1"/>
      </tp>
      <tp t="s">
        <v>#N/A N/A</v>
        <stp/>
        <stp>BDP|15551136636397529549</stp>
        <tr r="S28" s="1"/>
      </tp>
      <tp t="s">
        <v>#N/A N/A</v>
        <stp/>
        <stp>BDP|13459004111140489711</stp>
        <tr r="F12" s="1"/>
      </tp>
      <tp t="s">
        <v>#N/A N/A</v>
        <stp/>
        <stp>BDP|13353634890910972992</stp>
        <tr r="J23" s="1"/>
      </tp>
      <tp t="s">
        <v>#N/A N/A</v>
        <stp/>
        <stp>BDP|10601983999847235266</stp>
        <tr r="R29" s="1"/>
      </tp>
      <tp t="s">
        <v>#N/A N/A</v>
        <stp/>
        <stp>BDP|11516497588390505822</stp>
        <tr r="G19" s="1"/>
      </tp>
      <tp t="s">
        <v>#N/A N/A</v>
        <stp/>
        <stp>BDP|14751582152226757797</stp>
        <tr r="H25" s="1"/>
      </tp>
      <tp t="s">
        <v>#N/A N/A</v>
        <stp/>
        <stp>BDP|12782162431654450162</stp>
        <tr r="AM8" s="1"/>
      </tp>
      <tp t="s">
        <v>#N/A N/A</v>
        <stp/>
        <stp>BDP|16292172713475664657</stp>
        <tr r="D8" s="1"/>
      </tp>
      <tp t="s">
        <v>#N/A N/A</v>
        <stp/>
        <stp>BDP|17335392572630543681</stp>
        <tr r="AE5" s="1"/>
      </tp>
      <tp t="s">
        <v>#N/A N/A</v>
        <stp/>
        <stp>BDP|13340108000455708202</stp>
        <tr r="Q22" s="1"/>
      </tp>
      <tp t="s">
        <v>#N/A N/A</v>
        <stp/>
        <stp>BDP|14413415421746240126</stp>
        <tr r="AJ5" s="1"/>
      </tp>
      <tp t="s">
        <v>#N/A N/A</v>
        <stp/>
        <stp>BDP|14650426864042276163</stp>
        <tr r="AN18" s="1"/>
      </tp>
      <tp t="s">
        <v>#N/A N/A</v>
        <stp/>
        <stp>BDP|14977771555144866774</stp>
        <tr r="AB28" s="1"/>
      </tp>
      <tp t="s">
        <v>#N/A N/A</v>
        <stp/>
        <stp>BDP|15694143516394345407</stp>
        <tr r="AK15" s="1"/>
      </tp>
      <tp t="s">
        <v>#N/A N/A</v>
        <stp/>
        <stp>BDP|12056429204327325424</stp>
        <tr r="O19" s="1"/>
      </tp>
      <tp t="s">
        <v>#N/A N/A</v>
        <stp/>
        <stp>BDP|12850363548336984684</stp>
        <tr r="Z8" s="1"/>
      </tp>
      <tp t="s">
        <v>#N/A N/A</v>
        <stp/>
        <stp>BDP|17780660050499270844</stp>
        <tr r="AG18" s="1"/>
      </tp>
      <tp t="s">
        <v>#N/A N/A</v>
        <stp/>
        <stp>BDP|13125018406124529247</stp>
        <tr r="Q26" s="1"/>
      </tp>
      <tp t="s">
        <v>#N/A N/A</v>
        <stp/>
        <stp>BDP|17615666031585684207</stp>
        <tr r="R17" s="1"/>
      </tp>
      <tp t="s">
        <v>#N/A N/A</v>
        <stp/>
        <stp>BDP|10768715120209467957</stp>
        <tr r="D23" s="1"/>
      </tp>
      <tp t="s">
        <v>#N/A N/A</v>
        <stp/>
        <stp>BDP|17283268460186397008</stp>
        <tr r="AH22" s="1"/>
      </tp>
      <tp t="s">
        <v>#N/A N/A</v>
        <stp/>
        <stp>BDP|11363320499957884977</stp>
        <tr r="E20" s="1"/>
      </tp>
    </main>
    <main first="bofaddin.rtdserver">
      <tp t="s">
        <v>#N/A N/A</v>
        <stp/>
        <stp>BDP|5695705479468667131</stp>
        <tr r="Q9" s="1"/>
      </tp>
      <tp t="s">
        <v>#N/A N/A</v>
        <stp/>
        <stp>BDP|2977803610963105423</stp>
        <tr r="N17" s="1"/>
      </tp>
      <tp t="s">
        <v>#N/A Requesting Data...4107147872</v>
        <stp/>
        <stp>BDP|5606002408481551802</stp>
        <tr r="B2" s="2"/>
      </tp>
      <tp t="s">
        <v>#N/A N/A</v>
        <stp/>
        <stp>BDP|7358508489233133531</stp>
        <tr r="K17" s="1"/>
      </tp>
      <tp t="s">
        <v>#N/A N/A</v>
        <stp/>
        <stp>BDP|5708351296792476184</stp>
        <tr r="AH11" s="1"/>
      </tp>
      <tp t="s">
        <v>#N/A N/A</v>
        <stp/>
        <stp>BDP|7811806367320760510</stp>
        <tr r="AD24" s="1"/>
      </tp>
      <tp t="s">
        <v>#N/A N/A</v>
        <stp/>
        <stp>BDP|7409040964658934540</stp>
        <tr r="AJ27" s="1"/>
      </tp>
      <tp t="s">
        <v>#N/A N/A</v>
        <stp/>
        <stp>BDP|6031628982390807464</stp>
        <tr r="R13" s="1"/>
        <tr r="R14" s="1"/>
      </tp>
      <tp t="s">
        <v>#N/A Requesting Data...3221989587</v>
        <stp/>
        <stp>BDP|5525880838714921627</stp>
        <tr r="V2" s="1"/>
      </tp>
      <tp t="s">
        <v>#N/A N/A</v>
        <stp/>
        <stp>BDP|4448449909025528929</stp>
        <tr r="N8" s="1"/>
      </tp>
      <tp t="s">
        <v>#N/A N/A</v>
        <stp/>
        <stp>BDP|9127287161366049779</stp>
        <tr r="M29" s="1"/>
      </tp>
      <tp t="s">
        <v>#N/A N/A</v>
        <stp/>
        <stp>BDP|9640235735072847644</stp>
        <tr r="AI20" s="1"/>
      </tp>
      <tp t="s">
        <v>#N/A N/A</v>
        <stp/>
        <stp>BDP|4338696806398791662</stp>
        <tr r="AH8" s="1"/>
      </tp>
      <tp t="s">
        <v>#N/A N/A</v>
        <stp/>
        <stp>BDP|2525947458177171553</stp>
        <tr r="AC29" s="1"/>
      </tp>
      <tp t="s">
        <v>#N/A N/A</v>
        <stp/>
        <stp>BDP|2731832051370972310</stp>
        <tr r="K18" s="1"/>
      </tp>
      <tp t="s">
        <v>#N/A N/A</v>
        <stp/>
        <stp>BDP|7112878120566889731</stp>
        <tr r="Q18" s="1"/>
      </tp>
      <tp t="s">
        <v>#N/A N/A</v>
        <stp/>
        <stp>BDP|4006601053122867962</stp>
        <tr r="Z28" s="1"/>
      </tp>
      <tp t="s">
        <v>#N/A N/A</v>
        <stp/>
        <stp>BDP|3123713185962710202</stp>
        <tr r="J22" s="1"/>
      </tp>
      <tp t="s">
        <v>#N/A N/A</v>
        <stp/>
        <stp>BDP|5216840536443499160</stp>
        <tr r="AO5" s="1"/>
      </tp>
      <tp t="s">
        <v>#N/A N/A</v>
        <stp/>
        <stp>BDP|3123885137717863347</stp>
        <tr r="AG27" s="1"/>
      </tp>
      <tp t="s">
        <v>#N/A Requesting Data...1661962056</v>
        <stp/>
        <stp>BDP|1820591123583847985</stp>
        <tr r="M2" s="1"/>
      </tp>
      <tp t="s">
        <v>#N/A N/A</v>
        <stp/>
        <stp>BDP|5839838651834829016</stp>
        <tr r="AK5" s="1"/>
      </tp>
      <tp t="s">
        <v>#N/A N/A</v>
        <stp/>
        <stp>BDP|7327741773432342978</stp>
        <tr r="AH18" s="1"/>
      </tp>
      <tp t="s">
        <v>#N/A N/A</v>
        <stp/>
        <stp>BDP|7241522245332429815</stp>
        <tr r="AA17" s="1"/>
      </tp>
      <tp t="s">
        <v>#N/A N/A</v>
        <stp/>
        <stp>BDP|9059077885749763456</stp>
        <tr r="D17" s="1"/>
      </tp>
      <tp t="s">
        <v>#N/A N/A</v>
        <stp/>
        <stp>BDP|3339228930289792767</stp>
        <tr r="AA28" s="1"/>
      </tp>
      <tp t="s">
        <v>#N/A N/A</v>
        <stp/>
        <stp>BDP|1582690320108964140</stp>
        <tr r="Z15" s="1"/>
      </tp>
      <tp t="s">
        <v>#N/A N/A</v>
        <stp/>
        <stp>BDP|9665473677121389742</stp>
        <tr r="K25" s="1"/>
      </tp>
      <tp t="s">
        <v>#N/A N/A</v>
        <stp/>
        <stp>BDP|9873602218355262732</stp>
        <tr r="F5" s="1"/>
      </tp>
      <tp t="s">
        <v>#N/A N/A</v>
        <stp/>
        <stp>BDP|6633651528979987743</stp>
        <tr r="V21" s="1"/>
      </tp>
      <tp t="s">
        <v>#N/A N/A</v>
        <stp/>
        <stp>BDP|8365255676957197673</stp>
        <tr r="V22" s="1"/>
      </tp>
      <tp t="s">
        <v>#N/A N/A</v>
        <stp/>
        <stp>BDP|7438601684005640000</stp>
        <tr r="S12" s="1"/>
      </tp>
      <tp t="s">
        <v>#N/A N/A</v>
        <stp/>
        <stp>BDP|7092463506408103750</stp>
        <tr r="T22" s="1"/>
      </tp>
      <tp t="s">
        <v>#N/A N/A</v>
        <stp/>
        <stp>BDP|5956299194595017716</stp>
        <tr r="K27" s="1"/>
      </tp>
      <tp t="s">
        <v>#N/A N/A</v>
        <stp/>
        <stp>BDP|2584401978004479833</stp>
        <tr r="AJ16" s="1"/>
      </tp>
      <tp t="s">
        <v>#N/A N/A</v>
        <stp/>
        <stp>BDP|1436937024962012585</stp>
        <tr r="W9" s="1"/>
      </tp>
      <tp t="s">
        <v>#N/A N/A</v>
        <stp/>
        <stp>BDP|4495857126647481487</stp>
        <tr r="AK7" s="1"/>
      </tp>
      <tp t="s">
        <v>#N/A N/A</v>
        <stp/>
        <stp>BDP|9421915817518238480</stp>
        <tr r="V18" s="1"/>
      </tp>
      <tp t="s">
        <v>#N/A N/A</v>
        <stp/>
        <stp>BDP|4971120479667263885</stp>
        <tr r="S16" s="1"/>
      </tp>
      <tp t="s">
        <v>#N/A N/A</v>
        <stp/>
        <stp>BDP|2709092744993369873</stp>
        <tr r="AB18" s="1"/>
      </tp>
      <tp t="s">
        <v>#N/A N/A</v>
        <stp/>
        <stp>BDP|6105013121031931864</stp>
        <tr r="AN28" s="1"/>
      </tp>
      <tp t="s">
        <v>#N/A N/A</v>
        <stp/>
        <stp>BDP|3642759582185515492</stp>
        <tr r="K28" s="1"/>
      </tp>
      <tp t="s">
        <v>#N/A N/A</v>
        <stp/>
        <stp>BDP|2589887458420113262</stp>
        <tr r="J10" s="1"/>
      </tp>
      <tp t="s">
        <v>#N/A N/A</v>
        <stp/>
        <stp>BDP|2350463021970117971</stp>
        <tr r="B17" s="1"/>
      </tp>
      <tp t="s">
        <v>#N/A N/A</v>
        <stp/>
        <stp>BDP|3047059633145498805</stp>
        <tr r="F11" s="1"/>
      </tp>
      <tp t="s">
        <v>#N/A N/A</v>
        <stp/>
        <stp>BDP|7455447252358562355</stp>
        <tr r="N28" s="1"/>
      </tp>
      <tp t="s">
        <v>#N/A N/A</v>
        <stp/>
        <stp>BDP|4369682899017082108</stp>
        <tr r="AH17" s="1"/>
      </tp>
      <tp t="s">
        <v>#N/A N/A</v>
        <stp/>
        <stp>BDP|8375334420721622556</stp>
        <tr r="AG12" s="1"/>
      </tp>
      <tp t="s">
        <v>#N/A N/A</v>
        <stp/>
        <stp>BDP|2049343711788262540</stp>
        <tr r="K6" s="1"/>
      </tp>
      <tp t="s">
        <v>#N/A N/A</v>
        <stp/>
        <stp>BDP|6428368192897254623</stp>
        <tr r="V17" s="1"/>
      </tp>
      <tp t="s">
        <v>#N/A N/A</v>
        <stp/>
        <stp>BDP|9967771318177190566</stp>
        <tr r="D11" s="1"/>
      </tp>
      <tp t="s">
        <v>#N/A N/A</v>
        <stp/>
        <stp>BDP|3984898810143845499</stp>
        <tr r="O9" s="1"/>
      </tp>
      <tp t="s">
        <v>#N/A N/A</v>
        <stp/>
        <stp>BDP|4179706692502174531</stp>
        <tr r="I20" s="1"/>
      </tp>
      <tp t="s">
        <v>#N/A N/A</v>
        <stp/>
        <stp>BDP|8305050367755327632</stp>
        <tr r="G11" s="1"/>
      </tp>
      <tp t="s">
        <v>#N/A N/A</v>
        <stp/>
        <stp>BDP|2939808060410971169</stp>
        <tr r="AB29" s="1"/>
      </tp>
      <tp t="s">
        <v>#N/A N/A</v>
        <stp/>
        <stp>BDP|1197595970296798892</stp>
        <tr r="I25" s="1"/>
      </tp>
      <tp t="s">
        <v>#N/A N/A</v>
        <stp/>
        <stp>BDP|5895731841898670386</stp>
        <tr r="AG16" s="1"/>
      </tp>
      <tp t="s">
        <v>#N/A N/A</v>
        <stp/>
        <stp>BDP|7251525143662079968</stp>
        <tr r="AG23" s="1"/>
      </tp>
      <tp t="s">
        <v>#N/A N/A</v>
        <stp/>
        <stp>BDP|7515571738199980561</stp>
        <tr r="AD17" s="1"/>
      </tp>
      <tp t="s">
        <v>#N/A N/A</v>
        <stp/>
        <stp>BDP|1119548857555547923</stp>
        <tr r="M25" s="1"/>
      </tp>
      <tp t="s">
        <v>#N/A N/A</v>
        <stp/>
        <stp>BDP|8752040105151100423</stp>
        <tr r="AF15" s="1"/>
      </tp>
      <tp t="s">
        <v>#N/A N/A</v>
        <stp/>
        <stp>BDP|4863926344935035240</stp>
        <tr r="T13" s="1"/>
        <tr r="T14" s="1"/>
      </tp>
      <tp t="s">
        <v>#N/A N/A</v>
        <stp/>
        <stp>BDP|4706727093831930551</stp>
        <tr r="AH29" s="1"/>
      </tp>
      <tp t="s">
        <v>#N/A N/A</v>
        <stp/>
        <stp>BDP|8264274322332450484</stp>
        <tr r="I13" s="1"/>
        <tr r="I14" s="1"/>
      </tp>
      <tp t="s">
        <v>#N/A N/A</v>
        <stp/>
        <stp>BDP|1805925224063775720</stp>
        <tr r="AO8" s="1"/>
      </tp>
      <tp t="s">
        <v>#N/A Requesting Data...1565018502</v>
        <stp/>
        <stp>BDP|6362400180121351580</stp>
        <tr r="C2" s="1"/>
        <tr r="F2" s="1"/>
        <tr r="D2" s="1"/>
        <tr r="E2" s="1"/>
        <tr r="B2" s="1"/>
      </tp>
      <tp t="s">
        <v>#N/A N/A</v>
        <stp/>
        <stp>BDP|2829329606168327761</stp>
        <tr r="AD14" s="1"/>
        <tr r="AD13" s="1"/>
      </tp>
      <tp t="s">
        <v>#N/A N/A</v>
        <stp/>
        <stp>BDP|6201970540536884337</stp>
        <tr r="X12" s="1"/>
      </tp>
      <tp t="s">
        <v>#N/A N/A</v>
        <stp/>
        <stp>BDP|2221581606689386010</stp>
        <tr r="N20" s="1"/>
      </tp>
      <tp t="s">
        <v>#N/A N/A</v>
        <stp/>
        <stp>BDP|1331380255119459045</stp>
        <tr r="AK8" s="1"/>
      </tp>
      <tp t="s">
        <v>#N/A N/A</v>
        <stp/>
        <stp>BDP|6356518043451952868</stp>
        <tr r="AO11" s="1"/>
      </tp>
      <tp t="s">
        <v>#N/A N/A</v>
        <stp/>
        <stp>BDP|3161756867224523896</stp>
        <tr r="Q6" s="1"/>
      </tp>
      <tp t="s">
        <v>#N/A N/A</v>
        <stp/>
        <stp>BDP|2284984608157613283</stp>
        <tr r="AI10" s="1"/>
      </tp>
      <tp t="s">
        <v>#N/A N/A</v>
        <stp/>
        <stp>BDP|9774052272720415081</stp>
        <tr r="V26" s="1"/>
      </tp>
      <tp t="s">
        <v>#N/A N/A</v>
        <stp/>
        <stp>BDP|7948036753789658532</stp>
        <tr r="I15" s="1"/>
      </tp>
      <tp t="s">
        <v>#N/A N/A</v>
        <stp/>
        <stp>BDP|6546473129677595932</stp>
        <tr r="AE11" s="1"/>
      </tp>
      <tp t="s">
        <v>#N/A N/A</v>
        <stp/>
        <stp>BDP|3185327144638281282</stp>
        <tr r="AN20" s="1"/>
      </tp>
      <tp t="s">
        <v>#N/A N/A</v>
        <stp/>
        <stp>BDP|7816123067196621899</stp>
        <tr r="C27" s="1"/>
      </tp>
      <tp t="s">
        <v>#N/A N/A</v>
        <stp/>
        <stp>BDP|9341412713324398613</stp>
        <tr r="AA10" s="1"/>
      </tp>
      <tp t="s">
        <v>#N/A N/A</v>
        <stp/>
        <stp>BDP|1291305866542109867</stp>
        <tr r="AL7" s="1"/>
      </tp>
      <tp t="s">
        <v>#N/A N/A</v>
        <stp/>
        <stp>BDP|9025573623833375349</stp>
        <tr r="AA20" s="1"/>
      </tp>
      <tp t="s">
        <v>#N/A N/A</v>
        <stp/>
        <stp>BDP|6971983620160004319</stp>
        <tr r="AO15" s="1"/>
      </tp>
      <tp t="s">
        <v>#N/A N/A</v>
        <stp/>
        <stp>BDP|1721933676159161839</stp>
        <tr r="V28" s="1"/>
      </tp>
      <tp t="s">
        <v>#N/A N/A</v>
        <stp/>
        <stp>BDP|6255100697530515002</stp>
        <tr r="S18" s="1"/>
      </tp>
      <tp t="s">
        <v>#N/A N/A</v>
        <stp/>
        <stp>BDP|9399436653982412474</stp>
        <tr r="M28" s="1"/>
      </tp>
      <tp t="s">
        <v>#N/A N/A</v>
        <stp/>
        <stp>BDP|9431122255323599069</stp>
        <tr r="AJ20" s="1"/>
      </tp>
      <tp t="s">
        <v>#N/A N/A</v>
        <stp/>
        <stp>BDP|4087165236109321139</stp>
        <tr r="AL5" s="1"/>
      </tp>
      <tp t="s">
        <v>#N/A Requesting Data...2540699819</v>
        <stp/>
        <stp>BDP|1675848421732290702</stp>
        <tr r="W2" s="1"/>
      </tp>
      <tp t="s">
        <v>#N/A N/A</v>
        <stp/>
        <stp>BDP|4284845007853338132</stp>
        <tr r="Q17" s="1"/>
      </tp>
      <tp t="s">
        <v>#N/A N/A</v>
        <stp/>
        <stp>BDP|1485601417441582973</stp>
        <tr r="AL24" s="1"/>
      </tp>
      <tp t="s">
        <v>#N/A N/A</v>
        <stp/>
        <stp>BDP|9058069562393265205</stp>
        <tr r="X26" s="1"/>
      </tp>
      <tp t="s">
        <v>#N/A N/A</v>
        <stp/>
        <stp>BDP|6528400874128463336</stp>
        <tr r="K11" s="1"/>
      </tp>
      <tp t="s">
        <v>#N/A N/A</v>
        <stp/>
        <stp>BDP|6907498557961675872</stp>
        <tr r="C16" s="1"/>
      </tp>
      <tp t="s">
        <v>#N/A N/A</v>
        <stp/>
        <stp>BDP|6240632311446776912</stp>
        <tr r="N13" s="1"/>
        <tr r="N14" s="1"/>
      </tp>
      <tp t="s">
        <v>#N/A N/A</v>
        <stp/>
        <stp>BDP|4896670528018314633</stp>
        <tr r="N19" s="1"/>
      </tp>
      <tp t="s">
        <v>#N/A N/A</v>
        <stp/>
        <stp>BDP|6665918908654189593</stp>
        <tr r="Q11" s="1"/>
      </tp>
      <tp t="s">
        <v>#N/A N/A</v>
        <stp/>
        <stp>BDP|8557873686394490245</stp>
        <tr r="AM26" s="1"/>
      </tp>
      <tp t="s">
        <v>#N/A N/A</v>
        <stp/>
        <stp>BDP|2006442074549099644</stp>
        <tr r="Y19" s="1"/>
      </tp>
      <tp t="s">
        <v>#N/A N/A</v>
        <stp/>
        <stp>BDP|6179413090285238068</stp>
        <tr r="AK10" s="1"/>
      </tp>
      <tp t="s">
        <v>#N/A N/A</v>
        <stp/>
        <stp>BDP|4109523026359257439</stp>
        <tr r="F15" s="1"/>
      </tp>
      <tp t="s">
        <v>#N/A N/A</v>
        <stp/>
        <stp>BDP|8568946120329641438</stp>
        <tr r="U13" s="1"/>
        <tr r="U14" s="1"/>
      </tp>
      <tp t="s">
        <v>#N/A N/A</v>
        <stp/>
        <stp>BDP|8768003747103378162</stp>
        <tr r="O23" s="1"/>
      </tp>
      <tp t="s">
        <v>#N/A N/A</v>
        <stp/>
        <stp>BDP|1951200822226717996</stp>
        <tr r="AJ9" s="1"/>
      </tp>
      <tp t="s">
        <v>#N/A N/A</v>
        <stp/>
        <stp>BDP|5526470224389864556</stp>
        <tr r="I23" s="1"/>
      </tp>
      <tp t="s">
        <v>#N/A N/A</v>
        <stp/>
        <stp>BDP|5888404535545691806</stp>
        <tr r="L7" s="1"/>
      </tp>
      <tp t="s">
        <v>#N/A N/A</v>
        <stp/>
        <stp>BDP|7234926766632957576</stp>
        <tr r="E7" s="1"/>
      </tp>
      <tp t="s">
        <v>#N/A N/A</v>
        <stp/>
        <stp>BDP|9984275519797655284</stp>
        <tr r="N12" s="1"/>
      </tp>
      <tp t="s">
        <v>#N/A N/A</v>
        <stp/>
        <stp>BDP|8701895203586153957</stp>
        <tr r="Z23" s="1"/>
      </tp>
      <tp t="s">
        <v>#N/A N/A</v>
        <stp/>
        <stp>BDP|5897034552126012976</stp>
        <tr r="AN19" s="1"/>
      </tp>
      <tp t="s">
        <v>#N/A N/A</v>
        <stp/>
        <stp>BDP|2633613918632359822</stp>
        <tr r="P11" s="1"/>
      </tp>
      <tp t="s">
        <v>#N/A N/A</v>
        <stp/>
        <stp>BDP|9852404347345236329</stp>
        <tr r="Q12" s="1"/>
      </tp>
      <tp t="s">
        <v>#N/A N/A</v>
        <stp/>
        <stp>BDP|3069284984775719348</stp>
        <tr r="T16" s="1"/>
      </tp>
      <tp t="s">
        <v>#N/A N/A</v>
        <stp/>
        <stp>BDP|6115603046452997910</stp>
        <tr r="Q25" s="1"/>
      </tp>
      <tp t="s">
        <v>#N/A N/A</v>
        <stp/>
        <stp>BDP|8002489686403033821</stp>
        <tr r="U18" s="1"/>
      </tp>
      <tp t="s">
        <v>#N/A N/A</v>
        <stp/>
        <stp>BDP|9167160659602666049</stp>
        <tr r="AC11" s="1"/>
      </tp>
      <tp t="s">
        <v>#N/A N/A</v>
        <stp/>
        <stp>BDP|5653326866257826878</stp>
        <tr r="AH19" s="1"/>
      </tp>
      <tp t="s">
        <v>#N/A N/A</v>
        <stp/>
        <stp>BDP|3030872112804919119</stp>
        <tr r="AI17" s="1"/>
      </tp>
      <tp t="s">
        <v>#N/A N/A</v>
        <stp/>
        <stp>BDP|8964241354690059043</stp>
        <tr r="J11" s="1"/>
      </tp>
      <tp t="s">
        <v>#N/A Requesting Data...1710491020</v>
        <stp/>
        <stp>BDP|1985072787200266697</stp>
        <tr r="AL2" s="1"/>
      </tp>
      <tp t="s">
        <v>#N/A N/A</v>
        <stp/>
        <stp>BDP|3435692616303164887</stp>
        <tr r="T15" s="1"/>
      </tp>
      <tp t="s">
        <v>#N/A N/A</v>
        <stp/>
        <stp>BDP|3283570385452065331</stp>
        <tr r="AL23" s="1"/>
      </tp>
      <tp t="s">
        <v>#N/A N/A</v>
        <stp/>
        <stp>BDP|9620743356872476635</stp>
        <tr r="G12" s="1"/>
      </tp>
      <tp t="s">
        <v>#N/A N/A</v>
        <stp/>
        <stp>BDP|2167310311356237907</stp>
        <tr r="F29" s="1"/>
      </tp>
      <tp t="s">
        <v>#N/A N/A</v>
        <stp/>
        <stp>BDP|4810895156541706733</stp>
        <tr r="F6" s="1"/>
      </tp>
      <tp t="s">
        <v>#N/A N/A</v>
        <stp/>
        <stp>BDP|2568234927004129935</stp>
        <tr r="Z12" s="1"/>
      </tp>
      <tp t="s">
        <v>#N/A N/A</v>
        <stp/>
        <stp>BDP|1304885180888847632</stp>
        <tr r="E22" s="1"/>
      </tp>
      <tp t="s">
        <v>#N/A N/A</v>
        <stp/>
        <stp>BDP|2140770614899687254</stp>
        <tr r="G20" s="1"/>
      </tp>
      <tp t="s">
        <v>#N/A N/A</v>
        <stp/>
        <stp>BDP|9287016454561567239</stp>
        <tr r="S13" s="1"/>
        <tr r="S14" s="1"/>
      </tp>
      <tp t="s">
        <v>#N/A N/A</v>
        <stp/>
        <stp>BDP|9906687566992679474</stp>
        <tr r="AL13" s="1"/>
        <tr r="AL14" s="1"/>
      </tp>
      <tp t="s">
        <v>#N/A Requesting Data...1888784140</v>
        <stp/>
        <stp>BDP|6593643273080108872</stp>
        <tr r="N2" s="1"/>
      </tp>
      <tp t="s">
        <v>#N/A N/A</v>
        <stp/>
        <stp>BDP|2420194399660641568</stp>
        <tr r="AA22" s="1"/>
      </tp>
      <tp t="s">
        <v>#N/A N/A</v>
        <stp/>
        <stp>BDP|2482809442437390604</stp>
        <tr r="AE21" s="1"/>
      </tp>
      <tp t="s">
        <v>#N/A N/A</v>
        <stp/>
        <stp>BDP|1148131620295623816</stp>
        <tr r="AM9" s="1"/>
      </tp>
      <tp t="s">
        <v>#N/A N/A</v>
        <stp/>
        <stp>BDP|4638468095382737385</stp>
        <tr r="AB22" s="1"/>
      </tp>
      <tp t="s">
        <v>#N/A N/A</v>
        <stp/>
        <stp>BDP|7988106156609060247</stp>
        <tr r="P28" s="1"/>
      </tp>
      <tp t="s">
        <v>#N/A N/A</v>
        <stp/>
        <stp>BDP|9700543046358721896</stp>
        <tr r="AE17" s="1"/>
      </tp>
      <tp t="s">
        <v>#N/A N/A</v>
        <stp/>
        <stp>BDP|7359404693330322287</stp>
        <tr r="AO23" s="1"/>
      </tp>
      <tp t="s">
        <v>#N/A N/A</v>
        <stp/>
        <stp>BDP|4297107568548259312</stp>
        <tr r="Q10" s="1"/>
      </tp>
      <tp t="s">
        <v>#N/A N/A</v>
        <stp/>
        <stp>BDP|5103233668750149923</stp>
        <tr r="U17" s="1"/>
      </tp>
      <tp t="s">
        <v>#N/A N/A</v>
        <stp/>
        <stp>BDP|8357194795410348852</stp>
        <tr r="AD16" s="1"/>
      </tp>
      <tp t="s">
        <v>#N/A N/A</v>
        <stp/>
        <stp>BDP|9552785915570641707</stp>
        <tr r="E18" s="1"/>
      </tp>
      <tp t="s">
        <v>#N/A N/A</v>
        <stp/>
        <stp>BDP|9807429299558400487</stp>
        <tr r="X7" s="1"/>
      </tp>
      <tp t="s">
        <v>#N/A N/A</v>
        <stp/>
        <stp>BDP|6277773285962768384</stp>
        <tr r="N27" s="1"/>
      </tp>
      <tp t="s">
        <v>#N/A N/A</v>
        <stp/>
        <stp>BDP|1662438889091559451</stp>
        <tr r="E17" s="1"/>
      </tp>
      <tp t="s">
        <v>#N/A N/A</v>
        <stp/>
        <stp>BDP|6255710089567346655</stp>
        <tr r="S10" s="1"/>
      </tp>
      <tp t="s">
        <v>#N/A N/A</v>
        <stp/>
        <stp>BDP|8134927575578943636</stp>
        <tr r="AJ6" s="1"/>
      </tp>
      <tp t="s">
        <v>#N/A N/A</v>
        <stp/>
        <stp>BDP|5145449732312371890</stp>
        <tr r="AB9" s="1"/>
      </tp>
      <tp t="s">
        <v>#N/A N/A</v>
        <stp/>
        <stp>BDP|3980819981048470308</stp>
        <tr r="D14" s="1"/>
        <tr r="D13" s="1"/>
      </tp>
      <tp t="s">
        <v>#N/A N/A</v>
        <stp/>
        <stp>BDP|4044302224339948402</stp>
        <tr r="H29" s="1"/>
      </tp>
      <tp t="s">
        <v>#N/A N/A</v>
        <stp/>
        <stp>BDP|6302840936847769259</stp>
        <tr r="E5" s="1"/>
      </tp>
      <tp t="s">
        <v>#N/A N/A</v>
        <stp/>
        <stp>BDP|5046829923147792064</stp>
        <tr r="N26" s="1"/>
      </tp>
      <tp t="s">
        <v>#N/A N/A</v>
        <stp/>
        <stp>BDP|6573848213297704046</stp>
        <tr r="L9" s="1"/>
      </tp>
      <tp t="s">
        <v>#N/A Requesting Data...2162107987</v>
        <stp/>
        <stp>BDP|6597065657163331863</stp>
        <tr r="S2" s="1"/>
      </tp>
      <tp t="s">
        <v>#N/A N/A</v>
        <stp/>
        <stp>BDP|2255735380974794101</stp>
        <tr r="N6" s="1"/>
      </tp>
      <tp t="s">
        <v>#N/A N/A</v>
        <stp/>
        <stp>BDP|2182064762368471451</stp>
        <tr r="AB26" s="1"/>
      </tp>
      <tp t="s">
        <v>#N/A N/A</v>
        <stp/>
        <stp>BDP|9753636322477168231</stp>
        <tr r="W25" s="1"/>
      </tp>
      <tp t="s">
        <v>#N/A N/A</v>
        <stp/>
        <stp>BDP|7182976543875774762</stp>
        <tr r="AF9" s="1"/>
      </tp>
      <tp t="s">
        <v>#N/A N/A</v>
        <stp/>
        <stp>BDP|5922443889609836880</stp>
        <tr r="W28" s="1"/>
      </tp>
      <tp t="s">
        <v>#N/A N/A</v>
        <stp/>
        <stp>BDP|1641291248449292602</stp>
        <tr r="V8" s="1"/>
      </tp>
      <tp t="s">
        <v>#N/A N/A</v>
        <stp/>
        <stp>BDP|5695388872709719114</stp>
        <tr r="R5" s="1"/>
      </tp>
      <tp t="s">
        <v>#N/A N/A</v>
        <stp/>
        <stp>BDP|1943069045839198503</stp>
        <tr r="M6" s="1"/>
      </tp>
      <tp t="s">
        <v>#N/A N/A</v>
        <stp/>
        <stp>BDP|2384357090323499295</stp>
        <tr r="M5" s="1"/>
      </tp>
      <tp t="s">
        <v>#N/A N/A</v>
        <stp/>
        <stp>BDP|6943183111547030884</stp>
        <tr r="C24" s="1"/>
      </tp>
      <tp t="s">
        <v>#N/A N/A</v>
        <stp/>
        <stp>BDP|8202069838351223309</stp>
        <tr r="AM12" s="1"/>
      </tp>
      <tp t="s">
        <v>#N/A N/A</v>
        <stp/>
        <stp>BDP|8826707724311109536</stp>
        <tr r="W12" s="1"/>
      </tp>
      <tp t="s">
        <v>#N/A N/A</v>
        <stp/>
        <stp>BDP|1904795797642170487</stp>
        <tr r="F16" s="1"/>
      </tp>
      <tp t="s">
        <v>#N/A N/A</v>
        <stp/>
        <stp>BDP|8005079881870864902</stp>
        <tr r="C8" s="1"/>
      </tp>
      <tp t="s">
        <v>#N/A N/A</v>
        <stp/>
        <stp>BDP|1062311878754638817</stp>
        <tr r="P20" s="1"/>
      </tp>
      <tp t="s">
        <v>#N/A N/A</v>
        <stp/>
        <stp>BDP|2270885221334753507</stp>
        <tr r="N11" s="1"/>
      </tp>
      <tp t="s">
        <v>#N/A N/A</v>
        <stp/>
        <stp>BDP|6929338289204718090</stp>
        <tr r="AC13" s="1"/>
        <tr r="AC14" s="1"/>
      </tp>
      <tp t="s">
        <v>#N/A N/A</v>
        <stp/>
        <stp>BDP|7489657080604044434</stp>
        <tr r="W24" s="1"/>
      </tp>
      <tp t="s">
        <v>#N/A N/A</v>
        <stp/>
        <stp>BDP|2027970921921183151</stp>
        <tr r="J9" s="1"/>
      </tp>
      <tp t="s">
        <v>#N/A N/A</v>
        <stp/>
        <stp>BDP|8747726471921448035</stp>
        <tr r="B5" s="1"/>
      </tp>
      <tp t="s">
        <v>#N/A N/A</v>
        <stp/>
        <stp>BDP|4264410506168535117</stp>
        <tr r="AL12" s="1"/>
      </tp>
      <tp t="s">
        <v>#N/A N/A</v>
        <stp/>
        <stp>BDP|7116437635689861098</stp>
        <tr r="I6" s="1"/>
      </tp>
      <tp t="s">
        <v>#N/A N/A</v>
        <stp/>
        <stp>BDP|2788285946248610598</stp>
        <tr r="J17" s="1"/>
      </tp>
      <tp t="s">
        <v>#N/A Requesting Data...1979336525</v>
        <stp/>
        <stp>BDP|2411762932849535624</stp>
        <tr r="AM2" s="1"/>
      </tp>
      <tp t="s">
        <v>#N/A N/A</v>
        <stp/>
        <stp>BDP|6482827401584588350</stp>
        <tr r="J21" s="1"/>
      </tp>
      <tp t="s">
        <v>#N/A N/A</v>
        <stp/>
        <stp>BDP|5010249483521781746</stp>
        <tr r="AB24" s="1"/>
      </tp>
      <tp t="s">
        <v>#N/A N/A</v>
        <stp/>
        <stp>BDP|2929689891225468112</stp>
        <tr r="AN12" s="1"/>
      </tp>
      <tp t="s">
        <v>#N/A N/A</v>
        <stp/>
        <stp>BDP|8517183561030939600</stp>
        <tr r="AG9" s="1"/>
      </tp>
      <tp t="s">
        <v>#N/A N/A</v>
        <stp/>
        <stp>BDP|4790133402016467983</stp>
        <tr r="AN23" s="1"/>
      </tp>
      <tp t="s">
        <v>#N/A N/A</v>
        <stp/>
        <stp>BDP|7288146594340904518</stp>
        <tr r="T18" s="1"/>
      </tp>
      <tp t="s">
        <v>#N/A N/A</v>
        <stp/>
        <stp>BDP|7423333888285345361</stp>
        <tr r="V24" s="1"/>
      </tp>
      <tp t="s">
        <v>#N/A N/A</v>
        <stp/>
        <stp>BDP|8667495073989621819</stp>
        <tr r="U20" s="1"/>
      </tp>
      <tp t="s">
        <v>#N/A N/A</v>
        <stp/>
        <stp>BDP|4087884235674194171</stp>
        <tr r="E19" s="1"/>
      </tp>
      <tp t="s">
        <v>#N/A N/A</v>
        <stp/>
        <stp>BDP|2703828203425851562</stp>
        <tr r="I17" s="1"/>
      </tp>
      <tp t="s">
        <v>#N/A N/A</v>
        <stp/>
        <stp>BDP|9175660646487013697</stp>
        <tr r="O17" s="1"/>
      </tp>
      <tp t="s">
        <v>#N/A N/A</v>
        <stp/>
        <stp>BDP|8267611762366930416</stp>
        <tr r="U6" s="1"/>
      </tp>
      <tp t="s">
        <v>#N/A N/A</v>
        <stp/>
        <stp>BDP|1294084395622842095</stp>
        <tr r="B19" s="1"/>
      </tp>
      <tp t="s">
        <v>#N/A N/A</v>
        <stp/>
        <stp>BDP|1538034559336197807</stp>
        <tr r="I24" s="1"/>
      </tp>
      <tp t="s">
        <v>#N/A N/A</v>
        <stp/>
        <stp>BDP|6609547598913590315</stp>
        <tr r="W7" s="1"/>
      </tp>
      <tp t="s">
        <v>#N/A N/A</v>
        <stp/>
        <stp>BDP|9951437967076432776</stp>
        <tr r="O27" s="1"/>
      </tp>
      <tp t="s">
        <v>#N/A N/A</v>
        <stp/>
        <stp>BDP|1857763988101116591</stp>
        <tr r="P26" s="1"/>
      </tp>
      <tp t="s">
        <v>#N/A N/A</v>
        <stp/>
        <stp>BDP|7098382337005228827</stp>
        <tr r="O28" s="1"/>
      </tp>
      <tp t="s">
        <v>#N/A N/A</v>
        <stp/>
        <stp>BDP|4978675798792025392</stp>
        <tr r="F20" s="1"/>
      </tp>
      <tp t="s">
        <v>#N/A N/A</v>
        <stp/>
        <stp>BDP|4271720149994294971</stp>
        <tr r="AL27" s="1"/>
      </tp>
      <tp t="s">
        <v>#N/A N/A</v>
        <stp/>
        <stp>BDP|5881016098422837447</stp>
        <tr r="Z24" s="1"/>
      </tp>
      <tp t="s">
        <v>#N/A N/A</v>
        <stp/>
        <stp>BDP|9085427182349154633</stp>
        <tr r="AH27" s="1"/>
      </tp>
      <tp t="s">
        <v>#N/A N/A</v>
        <stp/>
        <stp>BDP|9436761441125325508</stp>
        <tr r="AE7" s="1"/>
      </tp>
      <tp t="s">
        <v>#N/A N/A</v>
        <stp/>
        <stp>BDP|4580151999724906217</stp>
        <tr r="W10" s="1"/>
      </tp>
      <tp t="s">
        <v>#N/A N/A</v>
        <stp/>
        <stp>BDP|6291558796283973398</stp>
        <tr r="E12" s="1"/>
      </tp>
      <tp t="s">
        <v>#N/A N/A</v>
        <stp/>
        <stp>BDP|1883899131817229734</stp>
        <tr r="R26" s="1"/>
      </tp>
      <tp t="s">
        <v>#N/A N/A</v>
        <stp/>
        <stp>BDP|1229881028742625355</stp>
        <tr r="AM16" s="1"/>
      </tp>
      <tp t="s">
        <v>#N/A N/A</v>
        <stp/>
        <stp>BDP|6248372588805520299</stp>
        <tr r="AJ26" s="1"/>
      </tp>
      <tp t="s">
        <v>#N/A N/A</v>
        <stp/>
        <stp>BDP|7198770352646076933</stp>
        <tr r="G27" s="1"/>
      </tp>
      <tp t="s">
        <v>#N/A N/A</v>
        <stp/>
        <stp>BDP|4864993660638642930</stp>
        <tr r="AN9" s="1"/>
      </tp>
      <tp t="s">
        <v>#N/A N/A</v>
        <stp/>
        <stp>BDP|2056408385107546359</stp>
        <tr r="M8" s="1"/>
      </tp>
      <tp t="s">
        <v>#N/A N/A</v>
        <stp/>
        <stp>BDP|5954223151429530058</stp>
        <tr r="D9" s="1"/>
      </tp>
      <tp t="s">
        <v>#N/A N/A</v>
        <stp/>
        <stp>BDP|1100576442048926378</stp>
        <tr r="AB23" s="1"/>
      </tp>
      <tp t="s">
        <v>#N/A Requesting Data...2940743869</v>
        <stp/>
        <stp>BDP|9707122238082386249</stp>
        <tr r="AA2" s="1"/>
      </tp>
      <tp t="s">
        <v>#N/A N/A</v>
        <stp/>
        <stp>BDP|3490658904039862762</stp>
        <tr r="AJ18" s="1"/>
      </tp>
      <tp t="s">
        <v>#N/A N/A</v>
        <stp/>
        <stp>BDP|5449985359354808651</stp>
        <tr r="P22" s="1"/>
      </tp>
      <tp t="s">
        <v>#N/A N/A</v>
        <stp/>
        <stp>BDP|3547953529455004608</stp>
        <tr r="F21" s="1"/>
      </tp>
      <tp t="s">
        <v>#N/A N/A</v>
        <stp/>
        <stp>BDP|5333735047169978470</stp>
        <tr r="E15" s="1"/>
      </tp>
      <tp t="s">
        <v>#N/A N/A</v>
        <stp/>
        <stp>BDP|2106516298241287445</stp>
        <tr r="U10" s="1"/>
      </tp>
      <tp t="s">
        <v>#N/A N/A</v>
        <stp/>
        <stp>BDP|2289931019804352578</stp>
        <tr r="AN10" s="1"/>
      </tp>
      <tp t="s">
        <v>#N/A N/A</v>
        <stp/>
        <stp>BDP|3963766065520330955</stp>
        <tr r="U8" s="1"/>
      </tp>
      <tp t="s">
        <v>#N/A N/A</v>
        <stp/>
        <stp>BDP|3925300194457768563</stp>
        <tr r="AN26" s="1"/>
      </tp>
      <tp t="s">
        <v>#N/A N/A</v>
        <stp/>
        <stp>BDP|3063368186515478689</stp>
        <tr r="D7" s="1"/>
      </tp>
      <tp t="s">
        <v>#N/A N/A</v>
        <stp/>
        <stp>BDP|9572302648731636467</stp>
        <tr r="O29" s="1"/>
      </tp>
      <tp t="s">
        <v>#N/A N/A</v>
        <stp/>
        <stp>BDP|8843511867930869042</stp>
        <tr r="Z5" s="1"/>
      </tp>
      <tp t="s">
        <v>#N/A N/A</v>
        <stp/>
        <stp>BDP|1319067394862572164</stp>
        <tr r="Y7" s="1"/>
      </tp>
      <tp t="s">
        <v>#N/A N/A</v>
        <stp/>
        <stp>BDP|4129026350258875286</stp>
        <tr r="R6" s="1"/>
      </tp>
      <tp t="s">
        <v>#N/A N/A</v>
        <stp/>
        <stp>BDP|9579601634170511747</stp>
        <tr r="AI24" s="1"/>
      </tp>
      <tp t="s">
        <v>#N/A N/A</v>
        <stp/>
        <stp>BDP|1740800020963486324</stp>
        <tr r="AN5" s="1"/>
      </tp>
      <tp t="s">
        <v>#N/A N/A</v>
        <stp/>
        <stp>BDP|5057363058508768085</stp>
        <tr r="L13" s="1"/>
        <tr r="L14" s="1"/>
      </tp>
      <tp t="s">
        <v>#N/A N/A</v>
        <stp/>
        <stp>BDP|5675668495065777441</stp>
        <tr r="K29" s="1"/>
      </tp>
      <tp t="s">
        <v>#N/A N/A</v>
        <stp/>
        <stp>BDP|7574688488633316102</stp>
        <tr r="AF27" s="1"/>
      </tp>
      <tp t="s">
        <v>#N/A N/A</v>
        <stp/>
        <stp>BDP|4042245705829034470</stp>
        <tr r="AN11" s="1"/>
      </tp>
      <tp t="s">
        <v>#N/A N/A</v>
        <stp/>
        <stp>BDP|5287620922229536333</stp>
        <tr r="G6" s="1"/>
      </tp>
      <tp t="s">
        <v>#N/A N/A</v>
        <stp/>
        <stp>BDP|9574219926810752217</stp>
        <tr r="H14" s="1"/>
        <tr r="H13" s="1"/>
      </tp>
      <tp t="s">
        <v>#N/A N/A</v>
        <stp/>
        <stp>BDP|6659236185162723528</stp>
        <tr r="AJ29" s="1"/>
      </tp>
      <tp t="s">
        <v>#N/A N/A</v>
        <stp/>
        <stp>BDP|5742952372951528103</stp>
        <tr r="AA15" s="1"/>
      </tp>
      <tp t="s">
        <v>#N/A N/A</v>
        <stp/>
        <stp>BDP|5675417897310615337</stp>
        <tr r="I12" s="1"/>
      </tp>
      <tp t="s">
        <v>#N/A N/A</v>
        <stp/>
        <stp>BDP|6755363261111890623</stp>
        <tr r="H27" s="1"/>
      </tp>
      <tp t="s">
        <v>#N/A N/A</v>
        <stp/>
        <stp>BDP|5973052897681274937</stp>
        <tr r="F17" s="1"/>
      </tp>
      <tp t="s">
        <v>#N/A N/A</v>
        <stp/>
        <stp>BDP|4402397978032809659</stp>
        <tr r="Z11" s="1"/>
      </tp>
      <tp t="s">
        <v>#N/A N/A</v>
        <stp/>
        <stp>BDP|5423437018531448533</stp>
        <tr r="AE27" s="1"/>
      </tp>
      <tp t="s">
        <v>#N/A N/A</v>
        <stp/>
        <stp>BDP|7476382955950150517</stp>
        <tr r="C29" s="1"/>
      </tp>
      <tp t="s">
        <v>#N/A N/A</v>
        <stp/>
        <stp>BDP|9636533697881976050</stp>
        <tr r="T24" s="1"/>
      </tp>
      <tp t="s">
        <v>#N/A N/A</v>
        <stp/>
        <stp>BDP|2844105602123509411</stp>
        <tr r="O5" s="1"/>
      </tp>
      <tp t="s">
        <v>#N/A N/A</v>
        <stp/>
        <stp>BDP|9447362659788339379</stp>
        <tr r="K9" s="1"/>
      </tp>
      <tp t="s">
        <v>#N/A N/A</v>
        <stp/>
        <stp>BDP|6447663528406442036</stp>
        <tr r="U16" s="1"/>
      </tp>
      <tp t="s">
        <v>#N/A Requesting Data...3338228153</v>
        <stp/>
        <stp>BDP|8370552293434090471</stp>
        <tr r="AB2" s="1"/>
      </tp>
      <tp t="s">
        <v>#N/A N/A</v>
        <stp/>
        <stp>BDP|1147608231627764758</stp>
        <tr r="Y6" s="1"/>
      </tp>
      <tp t="s">
        <v>#N/A N/A</v>
        <stp/>
        <stp>BDP|4635259467374757006</stp>
        <tr r="AL11" s="1"/>
      </tp>
      <tp t="s">
        <v>#N/A N/A</v>
        <stp/>
        <stp>BDP|6310134370540265419</stp>
        <tr r="F7" s="1"/>
      </tp>
      <tp t="s">
        <v>#N/A N/A</v>
        <stp/>
        <stp>BDP|7641075011496224419</stp>
        <tr r="AI23" s="1"/>
      </tp>
      <tp t="s">
        <v>#N/A N/A</v>
        <stp/>
        <stp>BDP|8520382159288461201</stp>
        <tr r="AJ11" s="1"/>
      </tp>
      <tp t="s">
        <v>#N/A N/A</v>
        <stp/>
        <stp>BDP|3164783417283812208</stp>
        <tr r="D15" s="1"/>
      </tp>
      <tp t="s">
        <v>#N/A N/A</v>
        <stp/>
        <stp>BDP|6204513481328621723</stp>
        <tr r="AN16" s="1"/>
      </tp>
      <tp t="s">
        <v>#N/A N/A</v>
        <stp/>
        <stp>BDP|8831028484583177799</stp>
        <tr r="AB20" s="1"/>
      </tp>
      <tp t="s">
        <v>#N/A N/A</v>
        <stp/>
        <stp>BDP|1548629107663798017</stp>
        <tr r="G24" s="1"/>
      </tp>
      <tp t="s">
        <v>#N/A N/A</v>
        <stp/>
        <stp>BDP|5643943688360548095</stp>
        <tr r="AM21" s="1"/>
      </tp>
      <tp t="s">
        <v>#N/A N/A</v>
        <stp/>
        <stp>BDP|1143584390740676994</stp>
        <tr r="AF18" s="1"/>
      </tp>
      <tp t="s">
        <v>#N/A N/A</v>
        <stp/>
        <stp>BDP|9453323711268641777</stp>
        <tr r="Z27" s="1"/>
      </tp>
      <tp t="s">
        <v>#N/A N/A</v>
        <stp/>
        <stp>BDP|2025319046661169012</stp>
        <tr r="E26" s="1"/>
      </tp>
      <tp t="s">
        <v>#N/A N/A</v>
        <stp/>
        <stp>BDP|1714624656594610229</stp>
        <tr r="K26" s="1"/>
      </tp>
      <tp t="s">
        <v>#N/A N/A</v>
        <stp/>
        <stp>BDP|4110692178075363444</stp>
        <tr r="D29" s="1"/>
      </tp>
      <tp t="s">
        <v>#N/A N/A</v>
        <stp/>
        <stp>BDP|5766448566497160407</stp>
        <tr r="AB10" s="1"/>
      </tp>
      <tp t="s">
        <v>#N/A N/A</v>
        <stp/>
        <stp>BDP|1282641471882356607</stp>
        <tr r="AI19" s="1"/>
      </tp>
      <tp t="s">
        <v>#N/A N/A</v>
        <stp/>
        <stp>BDP|3604020930635275124</stp>
        <tr r="AE9" s="1"/>
      </tp>
      <tp t="s">
        <v>#N/A N/A</v>
        <stp/>
        <stp>BDP|5980683901374509307</stp>
        <tr r="W29" s="1"/>
      </tp>
      <tp t="s">
        <v>#N/A N/A</v>
        <stp/>
        <stp>BDP|4411619544701585315</stp>
        <tr r="AL18" s="1"/>
      </tp>
      <tp t="s">
        <v>#N/A N/A</v>
        <stp/>
        <stp>BDP|3092327448665307438</stp>
        <tr r="AK21" s="1"/>
      </tp>
      <tp t="s">
        <v>#N/A N/A</v>
        <stp/>
        <stp>BDP|9799977972930038295</stp>
        <tr r="AM14" s="1"/>
        <tr r="AM13" s="1"/>
      </tp>
      <tp t="s">
        <v>#N/A N/A</v>
        <stp/>
        <stp>BDP|6146408408891549677</stp>
        <tr r="X25" s="1"/>
      </tp>
      <tp t="s">
        <v>#N/A N/A</v>
        <stp/>
        <stp>BDP|6268983290857365402</stp>
        <tr r="AF12" s="1"/>
      </tp>
      <tp t="s">
        <v>#N/A N/A</v>
        <stp/>
        <stp>BDP|5611046155687762292</stp>
        <tr r="W26" s="1"/>
      </tp>
      <tp t="s">
        <v>#N/A N/A</v>
        <stp/>
        <stp>BDP|8941551823193280923</stp>
        <tr r="E23" s="1"/>
      </tp>
      <tp t="s">
        <v>#N/A N/A</v>
        <stp/>
        <stp>BDP|5595586172503796144</stp>
        <tr r="U29" s="1"/>
      </tp>
      <tp t="s">
        <v>#N/A N/A</v>
        <stp/>
        <stp>BDP|6666159508330342258</stp>
        <tr r="U19" s="1"/>
      </tp>
      <tp t="s">
        <v>#N/A N/A</v>
        <stp/>
        <stp>BDP|5052357734948444871</stp>
        <tr r="C11" s="1"/>
      </tp>
      <tp t="s">
        <v>#N/A Requesting Data...2001920122</v>
        <stp/>
        <stp>BDP|4848736191097959810</stp>
        <tr r="AF2" s="1"/>
      </tp>
      <tp t="s">
        <v>#N/A N/A</v>
        <stp/>
        <stp>BDP|7208601464482556000</stp>
        <tr r="AC28" s="1"/>
      </tp>
      <tp t="s">
        <v>#N/A N/A</v>
        <stp/>
        <stp>BDP|8804417959728117423</stp>
        <tr r="T19" s="1"/>
      </tp>
      <tp t="s">
        <v>#N/A N/A</v>
        <stp/>
        <stp>BDP|5164049651915075075</stp>
        <tr r="B13" s="1"/>
        <tr r="B14" s="1"/>
      </tp>
      <tp t="s">
        <v>#N/A N/A</v>
        <stp/>
        <stp>BDP|5768250542241043737</stp>
        <tr r="H18" s="1"/>
      </tp>
      <tp t="s">
        <v>#N/A N/A</v>
        <stp/>
        <stp>BDP|7969298040320259427</stp>
        <tr r="W11" s="1"/>
      </tp>
      <tp t="s">
        <v>#N/A N/A</v>
        <stp/>
        <stp>BDP|5091639203245684369</stp>
        <tr r="B16" s="1"/>
      </tp>
      <tp t="s">
        <v>#N/A N/A</v>
        <stp/>
        <stp>BDP|5615491648524307440</stp>
        <tr r="AH24" s="1"/>
      </tp>
      <tp t="s">
        <v>#N/A N/A</v>
        <stp/>
        <stp>BDP|4826799413177452005</stp>
        <tr r="AM17" s="1"/>
      </tp>
      <tp t="s">
        <v>#N/A N/A</v>
        <stp/>
        <stp>BDP|9345643263404555874</stp>
        <tr r="W19" s="1"/>
      </tp>
      <tp t="s">
        <v>#N/A N/A</v>
        <stp/>
        <stp>BDP|4274114429852443091</stp>
        <tr r="AG28" s="1"/>
      </tp>
      <tp t="s">
        <v>#N/A N/A</v>
        <stp/>
        <stp>BDP|8902818940512834347</stp>
        <tr r="B10" s="1"/>
      </tp>
      <tp t="s">
        <v>#N/A N/A</v>
        <stp/>
        <stp>BDP|6338070443976055132</stp>
        <tr r="AF25" s="1"/>
      </tp>
      <tp t="s">
        <v>#N/A N/A</v>
        <stp/>
        <stp>BDP|7098650749318891803</stp>
        <tr r="F25" s="1"/>
      </tp>
      <tp t="s">
        <v>#N/A N/A</v>
        <stp/>
        <stp>BDP|2979173556523806043</stp>
        <tr r="AO26" s="1"/>
      </tp>
      <tp t="s">
        <v>#N/A N/A</v>
        <stp/>
        <stp>BDP|8629450097210954090</stp>
        <tr r="V5" s="1"/>
      </tp>
      <tp t="s">
        <v>#N/A N/A</v>
        <stp/>
        <stp>BDP|6782223512585555571</stp>
        <tr r="P23" s="1"/>
      </tp>
      <tp t="s">
        <v>#N/A N/A</v>
        <stp/>
        <stp>BDP|9784234492035665259</stp>
        <tr r="AG15" s="1"/>
      </tp>
      <tp t="s">
        <v>#N/A N/A</v>
        <stp/>
        <stp>BDP|4828071806781377300</stp>
        <tr r="H23" s="1"/>
      </tp>
      <tp t="s">
        <v>#N/A N/A</v>
        <stp/>
        <stp>BDP|5820061282133576830</stp>
        <tr r="AA29" s="1"/>
      </tp>
      <tp t="s">
        <v>#N/A N/A</v>
        <stp/>
        <stp>BDP|8438795588077688698</stp>
        <tr r="I22" s="1"/>
      </tp>
      <tp t="s">
        <v>#N/A N/A</v>
        <stp/>
        <stp>BDP|5533501040273900178</stp>
        <tr r="B12" s="1"/>
      </tp>
      <tp t="s">
        <v>#N/A N/A</v>
        <stp/>
        <stp>BDP|7567199424996798445</stp>
        <tr r="E16" s="1"/>
      </tp>
      <tp t="s">
        <v>#N/A N/A</v>
        <stp/>
        <stp>BDP|3885226487808680702</stp>
        <tr r="Y10" s="1"/>
      </tp>
      <tp t="s">
        <v>#N/A N/A</v>
        <stp/>
        <stp>BDP|7842273229387992674</stp>
        <tr r="B15" s="1"/>
      </tp>
      <tp t="s">
        <v>#N/A N/A</v>
        <stp/>
        <stp>BDP|8278100006867572884</stp>
        <tr r="AO25" s="1"/>
      </tp>
      <tp t="s">
        <v>#N/A N/A</v>
        <stp/>
        <stp>BDP|3300869655430832811</stp>
        <tr r="Y26" s="1"/>
      </tp>
      <tp t="s">
        <v>#N/A N/A</v>
        <stp/>
        <stp>BDP|3730391734237344207</stp>
        <tr r="W21" s="1"/>
      </tp>
      <tp t="s">
        <v>#N/A N/A</v>
        <stp/>
        <stp>BDP|7347833449019260478</stp>
        <tr r="AI27" s="1"/>
      </tp>
      <tp t="s">
        <v>#N/A N/A</v>
        <stp/>
        <stp>BDP|5986024862894589109</stp>
        <tr r="N21" s="1"/>
      </tp>
      <tp t="s">
        <v>#N/A N/A</v>
        <stp/>
        <stp>BDP|7027825495644955422</stp>
        <tr r="W5" s="1"/>
      </tp>
      <tp t="s">
        <v>#N/A N/A</v>
        <stp/>
        <stp>BDP|1960523615787646458</stp>
        <tr r="D16" s="1"/>
      </tp>
      <tp t="s">
        <v>#N/A N/A</v>
        <stp/>
        <stp>BDP|3033897717964683850</stp>
        <tr r="U25" s="1"/>
      </tp>
      <tp t="s">
        <v>#N/A N/A</v>
        <stp/>
        <stp>BDP|8382024312217171804</stp>
        <tr r="AO28" s="1"/>
      </tp>
      <tp t="s">
        <v>#N/A N/A</v>
        <stp/>
        <stp>BDP|1541677116878272857</stp>
        <tr r="AC22" s="1"/>
      </tp>
      <tp t="s">
        <v>#N/A N/A</v>
        <stp/>
        <stp>BDP|9099931387517190967</stp>
        <tr r="P19" s="1"/>
      </tp>
      <tp t="s">
        <v>#N/A N/A</v>
        <stp/>
        <stp>BDP|3708271148535137699</stp>
        <tr r="W15" s="1"/>
      </tp>
      <tp t="s">
        <v>#N/A N/A</v>
        <stp/>
        <stp>BDP|4901805952026946920</stp>
        <tr r="C6" s="1"/>
      </tp>
      <tp t="s">
        <v>#N/A N/A</v>
        <stp/>
        <stp>BDP|5708477923704508175</stp>
        <tr r="Y5" s="1"/>
      </tp>
      <tp t="s">
        <v>#N/A N/A</v>
        <stp/>
        <stp>BDP|6693361446323507458</stp>
        <tr r="T27" s="1"/>
      </tp>
      <tp t="s">
        <v>#N/A N/A</v>
        <stp/>
        <stp>BDP|3376201704913953491</stp>
        <tr r="AN25" s="1"/>
      </tp>
      <tp t="s">
        <v>#N/A N/A</v>
        <stp/>
        <stp>BDP|8645679609718706087</stp>
        <tr r="M22" s="1"/>
      </tp>
      <tp t="s">
        <v>#N/A N/A</v>
        <stp/>
        <stp>BDP|5632602344762678308</stp>
        <tr r="J16" s="1"/>
      </tp>
      <tp t="s">
        <v>#N/A N/A</v>
        <stp/>
        <stp>BDP|6640468902373166760</stp>
        <tr r="X11" s="1"/>
      </tp>
      <tp t="s">
        <v>#N/A N/A</v>
        <stp/>
        <stp>BDP|8907968699529187727</stp>
        <tr r="O6" s="1"/>
      </tp>
      <tp t="s">
        <v>#N/A Requesting Data...2250108993</v>
        <stp/>
        <stp>BDP|6114429997445590847</stp>
        <tr r="T2" s="1"/>
      </tp>
      <tp t="s">
        <v>#N/A N/A</v>
        <stp/>
        <stp>BDP|4127271941214768051</stp>
        <tr r="AL26" s="1"/>
      </tp>
      <tp t="s">
        <v>#N/A N/A</v>
        <stp/>
        <stp>BDP|3419518370983686594</stp>
        <tr r="AE12" s="1"/>
      </tp>
      <tp t="s">
        <v>#N/A Requesting Data...2693747814</v>
        <stp/>
        <stp>BDP|2407670811456854401</stp>
        <tr r="Q2" s="1"/>
      </tp>
      <tp t="s">
        <v>#N/A N/A</v>
        <stp/>
        <stp>BDP|7461187413588619833</stp>
        <tr r="AD19" s="1"/>
      </tp>
      <tp t="s">
        <v>#N/A N/A</v>
        <stp/>
        <stp>BDP|2873618118771862326</stp>
        <tr r="AF6" s="1"/>
      </tp>
      <tp t="s">
        <v>#N/A N/A</v>
        <stp/>
        <stp>BDP|3576085124415597373</stp>
        <tr r="AH9" s="1"/>
      </tp>
      <tp t="s">
        <v>#N/A N/A</v>
        <stp/>
        <stp>BDP|8962328600515564964</stp>
        <tr r="C18" s="1"/>
      </tp>
      <tp t="s">
        <v>#N/A N/A</v>
        <stp/>
        <stp>BDP|9938813426992244644</stp>
        <tr r="E8" s="1"/>
      </tp>
      <tp t="s">
        <v>#N/A N/A</v>
        <stp/>
        <stp>BDP|2628707708757793511</stp>
        <tr r="AC5" s="1"/>
      </tp>
      <tp t="s">
        <v>#N/A N/A</v>
        <stp/>
        <stp>BDP|1528350658627976799</stp>
        <tr r="R16" s="1"/>
      </tp>
      <tp t="s">
        <v>#N/A N/A</v>
        <stp/>
        <stp>BDP|9144696337299423236</stp>
        <tr r="AJ17" s="1"/>
      </tp>
      <tp t="s">
        <v>#N/A N/A</v>
        <stp/>
        <stp>BDP|7379323042202856522</stp>
        <tr r="H15" s="1"/>
      </tp>
      <tp t="s">
        <v>#N/A N/A</v>
        <stp/>
        <stp>BDP|1529382985764075979</stp>
        <tr r="M27" s="1"/>
      </tp>
      <tp t="s">
        <v>#N/A N/A</v>
        <stp/>
        <stp>BDP|6111701009613008578</stp>
        <tr r="AH23" s="1"/>
      </tp>
      <tp t="s">
        <v>#N/A N/A</v>
        <stp/>
        <stp>BDP|3103151149203659247</stp>
        <tr r="AJ25" s="1"/>
      </tp>
      <tp t="s">
        <v>#N/A N/A</v>
        <stp/>
        <stp>BDP|8117797135303386818</stp>
        <tr r="B7" s="1"/>
      </tp>
      <tp t="s">
        <v>#N/A N/A</v>
        <stp/>
        <stp>BDP|6126385903592002069</stp>
        <tr r="K8" s="1"/>
      </tp>
      <tp t="s">
        <v>#N/A N/A</v>
        <stp/>
        <stp>BDP|2482730755594852370</stp>
        <tr r="AC6" s="1"/>
      </tp>
      <tp t="s">
        <v>#N/A N/A</v>
        <stp/>
        <stp>BDP|3607993328907868823</stp>
        <tr r="J15" s="1"/>
      </tp>
      <tp t="s">
        <v>#N/A N/A</v>
        <stp/>
        <stp>BDP|9081289236278554768</stp>
        <tr r="AE14" s="1"/>
        <tr r="AE13" s="1"/>
      </tp>
      <tp t="s">
        <v>#N/A Requesting Data...4172972728</v>
        <stp/>
        <stp>BDP|1853426127889829989</stp>
        <tr r="X2" s="1"/>
      </tp>
      <tp t="s">
        <v>#N/A N/A</v>
        <stp/>
        <stp>BDP|1682913389403291414</stp>
        <tr r="P16" s="1"/>
      </tp>
      <tp t="s">
        <v>#N/A N/A</v>
        <stp/>
        <stp>BDP|2453199789774555836</stp>
        <tr r="AI15" s="1"/>
      </tp>
      <tp t="s">
        <v>#N/A Requesting Data...2712947430</v>
        <stp/>
        <stp>BDP|5149748040312356347</stp>
        <tr r="R2" s="1"/>
      </tp>
      <tp t="s">
        <v>#N/A N/A</v>
        <stp/>
        <stp>BDP|6717110435855064613</stp>
        <tr r="AL29" s="1"/>
      </tp>
      <tp t="s">
        <v>#N/A N/A</v>
        <stp/>
        <stp>BDP|3605002740791544111</stp>
        <tr r="Z21" s="1"/>
      </tp>
      <tp t="s">
        <v>#N/A N/A</v>
        <stp/>
        <stp>BDP|8322502585142562008</stp>
        <tr r="C22" s="1"/>
      </tp>
      <tp t="s">
        <v>#N/A N/A</v>
        <stp/>
        <stp>BDP|2660427084749307002</stp>
        <tr r="E6" s="1"/>
      </tp>
      <tp t="s">
        <v>#N/A N/A</v>
        <stp/>
        <stp>BDP|5606208621773398170</stp>
        <tr r="V12" s="1"/>
      </tp>
      <tp t="s">
        <v>#N/A N/A</v>
        <stp/>
        <stp>BDP|6044324732396710778</stp>
        <tr r="AD6" s="1"/>
      </tp>
      <tp t="s">
        <v>#N/A N/A</v>
        <stp/>
        <stp>BDP|6630497829484425325</stp>
        <tr r="P29" s="1"/>
      </tp>
      <tp t="s">
        <v>#N/A N/A</v>
        <stp/>
        <stp>BDP|7436264424729095971</stp>
        <tr r="AL19" s="1"/>
      </tp>
      <tp t="s">
        <v>#N/A N/A</v>
        <stp/>
        <stp>BDP|4348089298022339819</stp>
        <tr r="AN6" s="1"/>
      </tp>
      <tp t="s">
        <v>#N/A N/A</v>
        <stp/>
        <stp>BDP|2132003520201804685</stp>
        <tr r="F19" s="1"/>
      </tp>
      <tp t="s">
        <v>#N/A N/A</v>
        <stp/>
        <stp>BDP|7799438521762534413</stp>
        <tr r="AN27" s="1"/>
      </tp>
      <tp t="s">
        <v>#N/A N/A</v>
        <stp/>
        <stp>BDP|2263688284238856309</stp>
        <tr r="X17" s="1"/>
      </tp>
      <tp t="s">
        <v>#N/A N/A</v>
        <stp/>
        <stp>BDP|5730561097118706665</stp>
        <tr r="V15" s="1"/>
      </tp>
      <tp t="s">
        <v>#N/A N/A</v>
        <stp/>
        <stp>BDP|1767757952636578218</stp>
        <tr r="S5" s="1"/>
      </tp>
      <tp t="s">
        <v>#N/A N/A</v>
        <stp/>
        <stp>BDP|4084214623963790017</stp>
        <tr r="D5" s="1"/>
      </tp>
      <tp t="s">
        <v>#N/A N/A</v>
        <stp/>
        <stp>BDP|3300445636184683737</stp>
        <tr r="J27" s="1"/>
      </tp>
      <tp t="s">
        <v>#N/A N/A</v>
        <stp/>
        <stp>BDP|7520149912322403236</stp>
        <tr r="AM5" s="1"/>
      </tp>
      <tp t="s">
        <v>#N/A N/A</v>
        <stp/>
        <stp>BDP|5450673751878262953</stp>
        <tr r="R7" s="1"/>
      </tp>
      <tp t="s">
        <v>#N/A N/A</v>
        <stp/>
        <stp>BDP|7622397347556554679</stp>
        <tr r="AO7" s="1"/>
      </tp>
      <tp t="s">
        <v>#N/A N/A</v>
        <stp/>
        <stp>BDP|3327649138854225270</stp>
        <tr r="AF29" s="1"/>
      </tp>
      <tp t="s">
        <v>#N/A N/A</v>
        <stp/>
        <stp>BDP|6887323635100169654</stp>
        <tr r="AO24" s="1"/>
      </tp>
      <tp t="s">
        <v>#N/A N/A</v>
        <stp/>
        <stp>BDP|7747141121940977405</stp>
        <tr r="B24" s="1"/>
      </tp>
      <tp t="s">
        <v>#N/A N/A</v>
        <stp/>
        <stp>BDP|1647274489132776947</stp>
        <tr r="AI29" s="1"/>
      </tp>
      <tp t="s">
        <v>#N/A N/A</v>
        <stp/>
        <stp>BDP|2800032433163631266</stp>
        <tr r="AF23" s="1"/>
      </tp>
      <tp t="s">
        <v>#N/A N/A</v>
        <stp/>
        <stp>BDP|6142012766879963965</stp>
        <tr r="F18" s="1"/>
      </tp>
      <tp t="s">
        <v>#N/A N/A</v>
        <stp/>
        <stp>BDP|4664044483248990415</stp>
        <tr r="AK11" s="1"/>
      </tp>
      <tp t="s">
        <v>#N/A N/A</v>
        <stp/>
        <stp>BDP|2942629026772424409</stp>
        <tr r="AM10" s="1"/>
      </tp>
      <tp t="s">
        <v>#N/A N/A</v>
        <stp/>
        <stp>BDP|9458581070343660832</stp>
        <tr r="I7" s="1"/>
      </tp>
      <tp t="s">
        <v>#N/A N/A</v>
        <stp/>
        <stp>BDP|4351021644037984721</stp>
        <tr r="W23" s="1"/>
      </tp>
      <tp t="s">
        <v>#N/A N/A</v>
        <stp/>
        <stp>BDP|4540592064257338051</stp>
        <tr r="S25" s="1"/>
      </tp>
      <tp t="s">
        <v>#N/A N/A</v>
        <stp/>
        <stp>BDP|6091187480767404809</stp>
        <tr r="AK19" s="1"/>
      </tp>
      <tp t="s">
        <v>#N/A N/A</v>
        <stp/>
        <stp>BDP|2953897694685485626</stp>
        <tr r="AN24" s="1"/>
      </tp>
      <tp t="s">
        <v>#N/A N/A</v>
        <stp/>
        <stp>BDP|1712411005614570144</stp>
        <tr r="AK9" s="1"/>
      </tp>
      <tp t="s">
        <v>#N/A N/A</v>
        <stp/>
        <stp>BDP|9277814903940339102</stp>
        <tr r="M18" s="1"/>
      </tp>
      <tp t="s">
        <v>#N/A N/A</v>
        <stp/>
        <stp>BDP|3877700451905846420</stp>
        <tr r="X24" s="1"/>
      </tp>
      <tp t="s">
        <v>#N/A N/A</v>
        <stp/>
        <stp>BDP|5106943729247880941</stp>
        <tr r="AL20" s="1"/>
      </tp>
      <tp t="s">
        <v>#N/A N/A</v>
        <stp/>
        <stp>BDP|3257938480942070016</stp>
        <tr r="AL8" s="1"/>
      </tp>
      <tp t="s">
        <v>#N/A N/A</v>
        <stp/>
        <stp>BDP|9781548597504353169</stp>
        <tr r="H16" s="1"/>
      </tp>
      <tp t="s">
        <v>#N/A N/A</v>
        <stp/>
        <stp>BDP|5277892019295602959</stp>
        <tr r="F27" s="1"/>
      </tp>
      <tp t="s">
        <v>#N/A Requesting Data...3430364263</v>
        <stp/>
        <stp>BDP|7561049557276915494</stp>
        <tr r="AO2" s="1"/>
      </tp>
      <tp t="s">
        <v>#N/A N/A</v>
        <stp/>
        <stp>BDP|7317529467864322039</stp>
        <tr r="P27" s="1"/>
      </tp>
      <tp t="s">
        <v>#N/A N/A</v>
        <stp/>
        <stp>BDP|2438803345497304941</stp>
        <tr r="N22" s="1"/>
      </tp>
      <tp t="s">
        <v>#N/A N/A</v>
        <stp/>
        <stp>BDP|4305241604415583308</stp>
        <tr r="Y13" s="1"/>
        <tr r="Y14" s="1"/>
      </tp>
      <tp t="s">
        <v>#N/A N/A</v>
        <stp/>
        <stp>BDP|8901677361148160084</stp>
        <tr r="Y23" s="1"/>
      </tp>
      <tp t="s">
        <v>#N/A N/A</v>
        <stp/>
        <stp>BDP|4703916133826336826</stp>
        <tr r="AC27" s="1"/>
      </tp>
      <tp t="s">
        <v>#N/A N/A</v>
        <stp/>
        <stp>BDP|9475869765792687541</stp>
        <tr r="AC25" s="1"/>
      </tp>
      <tp t="s">
        <v>#N/A N/A</v>
        <stp/>
        <stp>BDP|5143158332844981252</stp>
        <tr r="AO22" s="1"/>
      </tp>
      <tp t="s">
        <v>#N/A N/A</v>
        <stp/>
        <stp>BDP|7061051450360603380</stp>
        <tr r="AN22" s="1"/>
      </tp>
      <tp t="s">
        <v>#N/A N/A</v>
        <stp/>
        <stp>BDP|3046889748989865709</stp>
        <tr r="Z17" s="1"/>
      </tp>
      <tp t="s">
        <v>#N/A N/A</v>
        <stp/>
        <stp>BDP|3360138308254869785</stp>
        <tr r="B9" s="1"/>
      </tp>
      <tp t="s">
        <v>#N/A N/A</v>
        <stp/>
        <stp>BDP|1064375155494851249</stp>
        <tr r="T20" s="1"/>
      </tp>
      <tp t="s">
        <v>#N/A N/A</v>
        <stp/>
        <stp>BDP|9466533898137948382</stp>
        <tr r="AK22" s="1"/>
      </tp>
      <tp t="s">
        <v>#N/A N/A</v>
        <stp/>
        <stp>BDP|7937463624408398870</stp>
        <tr r="AG29" s="1"/>
      </tp>
      <tp t="s">
        <v>#N/A N/A</v>
        <stp/>
        <stp>BDP|1279871508391174931</stp>
        <tr r="K5" s="1"/>
      </tp>
      <tp t="s">
        <v>#N/A N/A</v>
        <stp/>
        <stp>BDP|6004842142543122881</stp>
        <tr r="T11" s="1"/>
      </tp>
      <tp t="s">
        <v>#N/A N/A</v>
        <stp/>
        <stp>BDP|2031206608928249981</stp>
        <tr r="AC21" s="1"/>
      </tp>
      <tp t="s">
        <v>#N/A N/A</v>
        <stp/>
        <stp>BDP|1172203535912445323</stp>
        <tr r="C15" s="1"/>
      </tp>
      <tp t="s">
        <v>#N/A N/A</v>
        <stp/>
        <stp>BDP|9099003647868279478</stp>
        <tr r="C20" s="1"/>
      </tp>
      <tp t="s">
        <v>#N/A N/A</v>
        <stp/>
        <stp>BDP|2641972369184821826</stp>
        <tr r="AB5" s="1"/>
      </tp>
      <tp t="s">
        <v>#N/A N/A</v>
        <stp/>
        <stp>BDP|2763401234887751376</stp>
        <tr r="AD22" s="1"/>
      </tp>
      <tp t="s">
        <v>#N/A N/A</v>
        <stp/>
        <stp>BDP|1618577338365882323</stp>
        <tr r="H10" s="1"/>
      </tp>
      <tp t="s">
        <v>#N/A N/A</v>
        <stp/>
        <stp>BDP|1082505752132946288</stp>
        <tr r="AM27" s="1"/>
      </tp>
      <tp t="s">
        <v>#N/A N/A</v>
        <stp/>
        <stp>BDP|5676721375017196307</stp>
        <tr r="D12" s="1"/>
      </tp>
      <tp t="s">
        <v>#N/A N/A</v>
        <stp/>
        <stp>BDP|7620316358327785784</stp>
        <tr r="N23" s="1"/>
      </tp>
      <tp t="s">
        <v>#N/A N/A</v>
        <stp/>
        <stp>BDP|7045720825691677218</stp>
        <tr r="G25" s="1"/>
      </tp>
      <tp t="s">
        <v>#N/A N/A</v>
        <stp/>
        <stp>BDP|7332674041714060059</stp>
        <tr r="AC7" s="1"/>
      </tp>
      <tp t="s">
        <v>#N/A N/A</v>
        <stp/>
        <stp>BDP|1958698771128017913</stp>
        <tr r="R11" s="1"/>
      </tp>
      <tp t="s">
        <v>#N/A N/A</v>
        <stp/>
        <stp>BDP|4656607417116463455</stp>
        <tr r="H21" s="1"/>
      </tp>
      <tp t="s">
        <v>#N/A N/A</v>
        <stp/>
        <stp>BDP|2660817892664191655</stp>
        <tr r="I28" s="1"/>
      </tp>
      <tp t="s">
        <v>#N/A N/A</v>
        <stp/>
        <stp>BDP|9011619892191382613</stp>
        <tr r="AD21" s="1"/>
      </tp>
      <tp t="s">
        <v>#N/A N/A</v>
        <stp/>
        <stp>BDP|1970777816766011092</stp>
        <tr r="AK13" s="1"/>
        <tr r="AK14" s="1"/>
      </tp>
      <tp t="s">
        <v>#N/A N/A</v>
        <stp/>
        <stp>BDP|4469546003990173046</stp>
        <tr r="O25" s="1"/>
      </tp>
      <tp t="s">
        <v>#N/A N/A</v>
        <stp/>
        <stp>BDP|9286888453020777589</stp>
        <tr r="C9" s="1"/>
      </tp>
      <tp t="s">
        <v>#N/A N/A</v>
        <stp/>
        <stp>BDP|8205381498292668123</stp>
        <tr r="E21" s="1"/>
      </tp>
      <tp t="s">
        <v>#N/A N/A</v>
        <stp/>
        <stp>BDP|2912492305570284705</stp>
        <tr r="H9" s="1"/>
      </tp>
      <tp t="s">
        <v>#N/A N/A</v>
        <stp/>
        <stp>BDP|4757521029906289495</stp>
        <tr r="AI14" s="1"/>
        <tr r="AI13" s="1"/>
      </tp>
      <tp t="s">
        <v>#N/A N/A</v>
        <stp/>
        <stp>BDP|7233546187208746310</stp>
        <tr r="L29" s="1"/>
      </tp>
      <tp t="s">
        <v>#N/A N/A</v>
        <stp/>
        <stp>BDP|1536618626665371151</stp>
        <tr r="H12" s="1"/>
      </tp>
      <tp t="s">
        <v>#N/A N/A</v>
        <stp/>
        <stp>BDP|4339500315000182125</stp>
        <tr r="AJ21" s="1"/>
      </tp>
      <tp t="s">
        <v>#N/A N/A</v>
        <stp/>
        <stp>BDP|5427168405293389611</stp>
        <tr r="AA25" s="1"/>
      </tp>
      <tp t="s">
        <v>#N/A N/A</v>
        <stp/>
        <stp>BDP|2509019135989166950</stp>
        <tr r="AD7" s="1"/>
      </tp>
      <tp t="s">
        <v>#N/A N/A</v>
        <stp/>
        <stp>BDP|4335675478722233557</stp>
        <tr r="E27" s="1"/>
      </tp>
      <tp t="s">
        <v>#N/A N/A</v>
        <stp/>
        <stp>BDP|2828047307005479544</stp>
        <tr r="M12" s="1"/>
      </tp>
      <tp t="s">
        <v>#N/A N/A</v>
        <stp/>
        <stp>BDP|3180127269507115137</stp>
        <tr r="Q5" s="1"/>
      </tp>
      <tp t="s">
        <v>#N/A N/A</v>
        <stp/>
        <stp>BDP|2785275853514895332</stp>
        <tr r="T25" s="1"/>
      </tp>
      <tp t="s">
        <v>#N/A N/A</v>
        <stp/>
        <stp>BDP|8056938167740496584</stp>
        <tr r="M16" s="1"/>
      </tp>
      <tp t="s">
        <v>#N/A N/A</v>
        <stp/>
        <stp>BDP|7991522113973611279</stp>
        <tr r="AB15" s="1"/>
      </tp>
      <tp t="s">
        <v>#N/A N/A</v>
        <stp/>
        <stp>BDP|4079137973641021199</stp>
        <tr r="AC17" s="1"/>
      </tp>
      <tp t="s">
        <v>#N/A N/A</v>
        <stp/>
        <stp>BDP|3775434630477411197</stp>
        <tr r="V29" s="1"/>
      </tp>
      <tp t="s">
        <v>#N/A N/A</v>
        <stp/>
        <stp>BDP|6844306764311768026</stp>
        <tr r="M7" s="1"/>
      </tp>
      <tp t="s">
        <v>#N/A N/A</v>
        <stp/>
        <stp>BDP|6975044652258510932</stp>
        <tr r="L23" s="1"/>
      </tp>
      <tp t="s">
        <v>#N/A N/A</v>
        <stp/>
        <stp>BDP|1597513064042094291</stp>
        <tr r="AC16" s="1"/>
      </tp>
      <tp t="s">
        <v>#N/A Requesting Data...2468813063</v>
        <stp/>
        <stp>BDP|5222072268773265212</stp>
        <tr r="K2" s="1"/>
      </tp>
      <tp t="s">
        <v>#N/A N/A</v>
        <stp/>
        <stp>BDP|2916010907482897299</stp>
        <tr r="AK23" s="1"/>
      </tp>
      <tp t="s">
        <v>#N/A N/A</v>
        <stp/>
        <stp>BDP|8904741203585462852</stp>
        <tr r="F8" s="1"/>
      </tp>
      <tp t="s">
        <v>#N/A N/A</v>
        <stp/>
        <stp>BDP|9913283988797519637</stp>
        <tr r="S26" s="1"/>
      </tp>
      <tp t="s">
        <v>#N/A N/A</v>
        <stp/>
        <stp>BDP|7046845798292983693</stp>
        <tr r="S20" s="1"/>
      </tp>
      <tp t="s">
        <v>#N/A N/A</v>
        <stp/>
        <stp>BDP|8924095944039123797</stp>
        <tr r="Z9" s="1"/>
      </tp>
      <tp t="s">
        <v>#N/A N/A</v>
        <stp/>
        <stp>BDP|4068777621740886334</stp>
        <tr r="N24" s="1"/>
      </tp>
      <tp t="s">
        <v>#N/A N/A</v>
        <stp/>
        <stp>BDP|9169393695641575056</stp>
        <tr r="S15" s="1"/>
      </tp>
      <tp t="s">
        <v>#N/A Requesting Data...2494998874</v>
        <stp/>
        <stp>BDP|6185087611053520609</stp>
        <tr r="AK2" s="1"/>
      </tp>
      <tp t="s">
        <v>#N/A N/A</v>
        <stp/>
        <stp>BDP|2506490649832268255</stp>
        <tr r="F22" s="1"/>
      </tp>
      <tp t="s">
        <v>#N/A Requesting Data...3537892889</v>
        <stp/>
        <stp>BDP|7845784321438498870</stp>
        <tr r="Z2" s="1"/>
      </tp>
      <tp t="s">
        <v>#N/A N/A</v>
        <stp/>
        <stp>BDP|9258360582581635121</stp>
        <tr r="T28" s="1"/>
      </tp>
      <tp t="s">
        <v>#N/A N/A</v>
        <stp/>
        <stp>BDP|1891176511867930456</stp>
        <tr r="Y17" s="1"/>
      </tp>
      <tp t="s">
        <v>#N/A N/A</v>
        <stp/>
        <stp>BDP|2362607628864161088</stp>
        <tr r="AK28" s="1"/>
      </tp>
      <tp t="s">
        <v>#N/A N/A</v>
        <stp/>
        <stp>BDP|4020519023047140604</stp>
        <tr r="AB25" s="1"/>
      </tp>
      <tp t="s">
        <v>#N/A N/A</v>
        <stp/>
        <stp>BDP|8101983340944853325</stp>
        <tr r="B27" s="1"/>
      </tp>
      <tp t="s">
        <v>#N/A N/A</v>
        <stp/>
        <stp>BDP|6041493469955655355</stp>
        <tr r="T21" s="1"/>
      </tp>
      <tp t="s">
        <v>#N/A N/A</v>
        <stp/>
        <stp>BDP|7809880592315418152</stp>
        <tr r="G10" s="1"/>
      </tp>
      <tp t="s">
        <v>#N/A N/A</v>
        <stp/>
        <stp>BDP|4766739649766882363</stp>
        <tr r="K20" s="1"/>
      </tp>
      <tp t="s">
        <v>#N/A N/A</v>
        <stp/>
        <stp>BDP|7192578924405244737</stp>
        <tr r="H20" s="1"/>
      </tp>
      <tp t="s">
        <v>#N/A N/A</v>
        <stp/>
        <stp>BDP|6786412449530867479</stp>
        <tr r="AG5" s="1"/>
      </tp>
      <tp t="s">
        <v>#N/A N/A</v>
        <stp/>
        <stp>BDP|7188202380289570655</stp>
        <tr r="G7" s="1"/>
      </tp>
      <tp t="s">
        <v>#N/A N/A</v>
        <stp/>
        <stp>BDP|3652067200825043463</stp>
        <tr r="AL22" s="1"/>
      </tp>
      <tp t="s">
        <v>#N/A N/A</v>
        <stp/>
        <stp>BDP|5038924194496522151</stp>
        <tr r="Q29" s="1"/>
      </tp>
      <tp t="s">
        <v>#N/A N/A</v>
        <stp/>
        <stp>BDP|4789919438035198982</stp>
        <tr r="C5" s="1"/>
      </tp>
      <tp t="s">
        <v>#N/A N/A</v>
        <stp/>
        <stp>BDP|7492887596124924040</stp>
        <tr r="G9" s="1"/>
      </tp>
      <tp t="s">
        <v>#N/A N/A</v>
        <stp/>
        <stp>BDP|1478537161511415158</stp>
        <tr r="Q27" s="1"/>
      </tp>
      <tp t="s">
        <v>#N/A N/A</v>
        <stp/>
        <stp>BDP|3840253464813798696</stp>
        <tr r="F26" s="1"/>
      </tp>
      <tp t="s">
        <v>#N/A N/A</v>
        <stp/>
        <stp>BDP|6001933499372938640</stp>
        <tr r="P10" s="1"/>
      </tp>
      <tp t="s">
        <v>#N/A N/A</v>
        <stp/>
        <stp>BDP|2090419036937157026</stp>
        <tr r="AH12" s="1"/>
      </tp>
      <tp t="s">
        <v>#N/A N/A</v>
        <stp/>
        <stp>BDP|6080475369803285582</stp>
        <tr r="S8" s="1"/>
      </tp>
      <tp t="s">
        <v>#N/A N/A</v>
        <stp/>
        <stp>BDP|5051697014260871014</stp>
        <tr r="AH5" s="1"/>
      </tp>
      <tp t="s">
        <v>#N/A N/A</v>
        <stp/>
        <stp>BDP|2260496817384031183</stp>
        <tr r="AI28" s="1"/>
      </tp>
      <tp t="s">
        <v>#N/A N/A</v>
        <stp/>
        <stp>BDP|2355576317456537221</stp>
        <tr r="P21" s="1"/>
      </tp>
      <tp t="s">
        <v>#N/A N/A</v>
        <stp/>
        <stp>BDP|6608543912697596703</stp>
        <tr r="AO18" s="1"/>
      </tp>
      <tp t="s">
        <v>#N/A N/A</v>
        <stp/>
        <stp>BDP|2807481206393498779</stp>
        <tr r="P15" s="1"/>
      </tp>
      <tp t="s">
        <v>#N/A N/A</v>
        <stp/>
        <stp>BDP|2306144598720336968</stp>
        <tr r="P8" s="1"/>
      </tp>
      <tp t="s">
        <v>#N/A N/A</v>
        <stp/>
        <stp>BDP|2489259162990168586</stp>
        <tr r="R12" s="1"/>
      </tp>
      <tp t="s">
        <v>#N/A N/A</v>
        <stp/>
        <stp>BDP|2641088527636772540</stp>
        <tr r="M11" s="1"/>
      </tp>
      <tp t="s">
        <v>#N/A N/A</v>
        <stp/>
        <stp>BDP|8723835581198785382</stp>
        <tr r="AI6" s="1"/>
      </tp>
      <tp t="s">
        <v>#N/A N/A</v>
        <stp/>
        <stp>BDP|5559075425011685592</stp>
        <tr r="AH15" s="1"/>
      </tp>
      <tp t="s">
        <v>#N/A N/A</v>
        <stp/>
        <stp>BDP|6421336510102838578</stp>
        <tr r="T10" s="1"/>
      </tp>
      <tp t="s">
        <v>#N/A N/A</v>
        <stp/>
        <stp>BDP|5514161211200241686</stp>
        <tr r="AM22" s="1"/>
      </tp>
      <tp t="s">
        <v>#N/A N/A</v>
        <stp/>
        <stp>BDP|7315124768445017615</stp>
        <tr r="O10" s="1"/>
      </tp>
      <tp t="s">
        <v>#N/A N/A</v>
        <stp/>
        <stp>BDP|9236497907179399779</stp>
        <tr r="I29" s="1"/>
      </tp>
      <tp t="s">
        <v>#N/A N/A</v>
        <stp/>
        <stp>BDP|5069432301327333580</stp>
        <tr r="R10" s="1"/>
      </tp>
      <tp t="s">
        <v>#N/A N/A</v>
        <stp/>
        <stp>BDP|7983481989708264052</stp>
        <tr r="Y25" s="1"/>
      </tp>
      <tp t="s">
        <v>#N/A N/A</v>
        <stp/>
        <stp>BDP|8371454813498374692</stp>
        <tr r="L19" s="1"/>
      </tp>
      <tp t="s">
        <v>#N/A N/A</v>
        <stp/>
        <stp>BDP|6424949053579842061</stp>
        <tr r="T29" s="1"/>
      </tp>
      <tp t="s">
        <v>#N/A N/A</v>
        <stp/>
        <stp>BDP|3160237970150994568</stp>
        <tr r="C26" s="1"/>
      </tp>
      <tp t="s">
        <v>#N/A N/A</v>
        <stp/>
        <stp>BDP|9433784483396421366</stp>
        <tr r="X10" s="1"/>
      </tp>
      <tp t="s">
        <v>#N/A N/A</v>
        <stp/>
        <stp>BDP|2416200528642747361</stp>
        <tr r="L26" s="1"/>
      </tp>
      <tp t="s">
        <v>#N/A N/A</v>
        <stp/>
        <stp>BDP|2365778158555095614</stp>
        <tr r="V27" s="1"/>
      </tp>
      <tp t="s">
        <v>#N/A N/A</v>
        <stp/>
        <stp>BDP|4289762044430981440</stp>
        <tr r="D28" s="1"/>
      </tp>
      <tp t="s">
        <v>#N/A N/A</v>
        <stp/>
        <stp>BDP|4766927025075287900</stp>
        <tr r="B8" s="1"/>
      </tp>
      <tp t="s">
        <v>#N/A N/A</v>
        <stp/>
        <stp>BDP|8408455781713243414</stp>
        <tr r="AO10" s="1"/>
      </tp>
      <tp t="s">
        <v>#N/A N/A</v>
        <stp/>
        <stp>BDP|2953807798404646478</stp>
        <tr r="X20" s="1"/>
      </tp>
      <tp t="s">
        <v>#N/A N/A</v>
        <stp/>
        <stp>BDP|9158874251783164479</stp>
        <tr r="L11" s="1"/>
      </tp>
      <tp t="s">
        <v>#N/A N/A</v>
        <stp/>
        <stp>BDP|4783536533168168978</stp>
        <tr r="E28" s="1"/>
      </tp>
      <tp t="s">
        <v>#N/A N/A</v>
        <stp/>
        <stp>BDP|8073207877106762812</stp>
        <tr r="AA7" s="1"/>
      </tp>
      <tp t="s">
        <v>#N/A N/A</v>
        <stp/>
        <stp>BDP|2626715765630632056</stp>
        <tr r="AF26" s="1"/>
      </tp>
      <tp t="s">
        <v>#N/A N/A</v>
        <stp/>
        <stp>BDP|2436767833973264650</stp>
        <tr r="O22" s="1"/>
      </tp>
      <tp t="s">
        <v>#N/A N/A</v>
        <stp/>
        <stp>BDP|6357570491098404178</stp>
        <tr r="AI18" s="1"/>
      </tp>
      <tp t="s">
        <v>#N/A N/A</v>
        <stp/>
        <stp>BDP|7912096915643026631</stp>
        <tr r="AE6" s="1"/>
      </tp>
      <tp t="s">
        <v>#N/A N/A</v>
        <stp/>
        <stp>BDP|6311648300210363336</stp>
        <tr r="AC24" s="1"/>
      </tp>
      <tp t="s">
        <v>#N/A N/A</v>
        <stp/>
        <stp>BDP|9733549588127785092</stp>
        <tr r="AN15" s="1"/>
      </tp>
      <tp t="s">
        <v>#N/A N/A</v>
        <stp/>
        <stp>BDP|9195669624798320653</stp>
        <tr r="W6" s="1"/>
      </tp>
      <tp t="s">
        <v>#N/A N/A</v>
        <stp/>
        <stp>BADDPERIODS|4691784112882833128</stp>
        <tr r="AI7" s="1"/>
        <tr r="AI8" s="1"/>
        <tr r="AL11" s="1"/>
        <tr r="AG24" s="1"/>
        <tr r="AG21" s="1"/>
        <tr r="AK12" s="1"/>
        <tr r="AK13" s="1"/>
        <tr r="AD8" s="1"/>
        <tr r="AD25" s="1"/>
        <tr r="AD27" s="1"/>
        <tr r="AD12" s="1"/>
        <tr r="AD5" s="1"/>
        <tr r="AD18" s="1"/>
        <tr r="AD10" s="1"/>
        <tr r="AH28" s="1"/>
        <tr r="AH6" s="1"/>
        <tr r="AM16" s="1"/>
        <tr r="AC26" s="1"/>
        <tr r="AJ16" s="1"/>
        <tr r="AJ25" s="1"/>
        <tr r="AJ18" s="1"/>
        <tr r="AJ23" s="1"/>
        <tr r="AL28" s="1"/>
        <tr r="AL16" s="1"/>
        <tr r="AD14" s="1"/>
        <tr r="AH12" s="1"/>
        <tr r="AH8" s="1"/>
        <tr r="AH29" s="1"/>
        <tr r="AI24" s="1"/>
        <tr r="AI20" s="1"/>
        <tr r="AI25" s="1"/>
        <tr r="AL25" s="1"/>
        <tr r="AL21" s="1"/>
        <tr r="AL26" s="1"/>
        <tr r="AI19" s="1"/>
        <tr r="AI15" s="1"/>
        <tr r="AI23" s="1"/>
        <tr r="AC28" s="1"/>
        <tr r="AC7" s="1"/>
        <tr r="AC8" s="1"/>
        <tr r="AF20" s="1"/>
        <tr r="AF23" s="1"/>
        <tr r="AF6" s="1"/>
        <tr r="AF12" s="1"/>
        <tr r="AF25" s="1"/>
        <tr r="AK27" s="1"/>
        <tr r="AC22" s="1"/>
        <tr r="AC21" s="1"/>
        <tr r="AF9" s="1"/>
        <tr r="AG26" s="1"/>
        <tr r="AG20" s="1"/>
        <tr r="AG27" s="1"/>
        <tr r="AG29" s="1"/>
        <tr r="AH20" s="1"/>
        <tr r="AH13" s="1"/>
        <tr r="AM14" s="1"/>
        <tr r="AM15" s="1"/>
        <tr r="AM18" s="1"/>
        <tr r="AM7" s="1"/>
        <tr r="AE16" s="1"/>
        <tr r="AE24" s="1"/>
        <tr r="AE8" s="1"/>
        <tr r="AN5" s="1"/>
        <tr r="AN10" s="1"/>
        <tr r="AN12" s="1"/>
        <tr r="AN26" s="1"/>
        <tr r="AO20" s="1"/>
        <tr r="AN14" s="1"/>
        <tr r="F7" s="1"/>
        <tr r="F18" s="1"/>
        <tr r="F8" s="1"/>
        <tr r="G17" s="1"/>
        <tr r="H11" s="1"/>
        <tr r="H22" s="1"/>
        <tr r="AO8" s="1"/>
        <tr r="AO5" s="1"/>
        <tr r="AO11" s="1"/>
        <tr r="AO24" s="1"/>
        <tr r="AN22" s="1"/>
        <tr r="AN27" s="1"/>
        <tr r="AN8" s="1"/>
        <tr r="J21" s="1"/>
        <tr r="J11" s="1"/>
        <tr r="J12" s="1"/>
        <tr r="G11" s="1"/>
        <tr r="H14" s="1"/>
        <tr r="H28" s="1"/>
        <tr r="H25" s="1"/>
        <tr r="H26" s="1"/>
        <tr r="H6" s="1"/>
        <tr r="AO25" s="1"/>
        <tr r="AO28" s="1"/>
        <tr r="AO27" s="1"/>
        <tr r="AO9" s="1"/>
        <tr r="J29" s="1"/>
        <tr r="J13" s="1"/>
        <tr r="I10" s="1"/>
        <tr r="I18" s="1"/>
        <tr r="K11" s="1"/>
        <tr r="K17" s="1"/>
        <tr r="K9" s="1"/>
        <tr r="K25" s="1"/>
        <tr r="K21" s="1"/>
        <tr r="K13" s="1"/>
        <tr r="K14" s="1"/>
        <tr r="K15" s="1"/>
        <tr r="K23" s="1"/>
        <tr r="K16" s="1"/>
        <tr r="G12" s="1"/>
        <tr r="G23" s="1"/>
        <tr r="AF19" s="1"/>
        <tr r="AF17" s="1"/>
        <tr r="AF7" s="1"/>
        <tr r="AL12" s="1"/>
        <tr r="AL13" s="1"/>
        <tr r="AK7" s="1"/>
        <tr r="AK11" s="1"/>
        <tr r="AK5" s="1"/>
        <tr r="AD29" s="1"/>
        <tr r="AD9" s="1"/>
        <tr r="AK26" s="1"/>
        <tr r="AM27" s="1"/>
        <tr r="AM21" s="1"/>
        <tr r="AM5" s="1"/>
        <tr r="AC23" s="1"/>
        <tr r="AJ5" s="1"/>
        <tr r="AJ22" s="1"/>
        <tr r="AJ8" s="1"/>
        <tr r="AJ17" s="1"/>
        <tr r="AJ13" s="1"/>
        <tr r="AJ10" s="1"/>
        <tr r="AJ12" s="1"/>
        <tr r="AD23" s="1"/>
        <tr r="AD17" s="1"/>
        <tr r="AE5" s="1"/>
        <tr r="AE15" s="1"/>
        <tr r="AE28" s="1"/>
        <tr r="AI22" s="1"/>
        <tr r="AI26" s="1"/>
        <tr r="AL7" s="1"/>
        <tr r="AL5" s="1"/>
        <tr r="AI14" s="1"/>
        <tr r="AC9" s="1"/>
        <tr r="AC12" s="1"/>
        <tr r="AK10" s="1"/>
        <tr r="AK16" s="1"/>
        <tr r="AK22" s="1"/>
        <tr r="AK25" s="1"/>
        <tr r="AK29" s="1"/>
        <tr r="AC6" s="1"/>
        <tr r="AC29" s="1"/>
        <tr r="AC24" s="1"/>
        <tr r="AC27" s="1"/>
        <tr r="AC13" s="1"/>
        <tr r="AF28" s="1"/>
        <tr r="AF15" s="1"/>
        <tr r="AF21" s="1"/>
        <tr r="AF24" s="1"/>
        <tr r="AF10" s="1"/>
        <tr r="AF22" s="1"/>
        <tr r="AG28" s="1"/>
        <tr r="AG16" s="1"/>
        <tr r="AG23" s="1"/>
        <tr r="AG12" s="1"/>
        <tr r="AG5" s="1"/>
        <tr r="AG25" s="1"/>
        <tr r="AG10" s="1"/>
        <tr r="AG19" s="1"/>
        <tr r="AG13" s="1"/>
        <tr r="AE26" s="1"/>
        <tr r="AE18" s="1"/>
        <tr r="AE11" s="1"/>
        <tr r="AE14" s="1"/>
        <tr r="AE12" s="1"/>
        <tr r="AH10" s="1"/>
        <tr r="AM26" s="1"/>
        <tr r="AM11" s="1"/>
        <tr r="AE17" s="1"/>
        <tr r="AE19" s="1"/>
        <tr r="AE10" s="1"/>
        <tr r="AN29" s="1"/>
        <tr r="AN11" s="1"/>
        <tr r="AN6" s="1"/>
        <tr r="AN20" s="1"/>
        <tr r="AO13" s="1"/>
        <tr r="AN18" s="1"/>
        <tr r="AN21" s="1"/>
        <tr r="AN7" s="1"/>
        <tr r="F12" s="1"/>
        <tr r="G28" s="1"/>
        <tr r="G16" s="1"/>
        <tr r="AO26" s="1"/>
        <tr r="AN23" s="1"/>
        <tr r="J24" s="1"/>
        <tr r="J5" s="1"/>
        <tr r="J8" s="1"/>
        <tr r="G24" s="1"/>
        <tr r="G20" s="1"/>
        <tr r="G9" s="1"/>
        <tr r="G10" s="1"/>
        <tr r="F14" s="1"/>
        <tr r="H15" s="1"/>
        <tr r="H16" s="1"/>
        <tr r="AO10" s="1"/>
        <tr r="J20" s="1"/>
        <tr r="G14" s="1"/>
        <tr r="AI5" s="1"/>
        <tr r="AL27" s="1"/>
        <tr r="AL18" s="1"/>
        <tr r="AL14" s="1"/>
        <tr r="AL10" s="1"/>
        <tr r="AL9" s="1"/>
        <tr r="AD26" s="1"/>
        <tr r="AD15" s="1"/>
        <tr r="AK6" s="1"/>
        <tr r="AK18" s="1"/>
        <tr r="AH7" s="1"/>
        <tr r="AM6" s="1"/>
        <tr r="AM9" s="1"/>
        <tr r="AM17" s="1"/>
        <tr r="AJ9" s="1"/>
        <tr r="AJ11" s="1"/>
        <tr r="AJ20" s="1"/>
        <tr r="AJ7" s="1"/>
        <tr r="AJ14" s="1"/>
        <tr r="AJ15" s="1"/>
        <tr r="AJ24" s="1"/>
        <tr r="AD16" s="1"/>
        <tr r="AD21" s="1"/>
        <tr r="AE23" s="1"/>
        <tr r="AH26" s="1"/>
        <tr r="AH9" s="1"/>
        <tr r="AH24" s="1"/>
        <tr r="AH19" s="1"/>
        <tr r="AI11" s="1"/>
        <tr r="AI9" s="1"/>
        <tr r="AI16" s="1"/>
        <tr r="AL23" s="1"/>
        <tr r="AL22" s="1"/>
        <tr r="AI18" s="1"/>
        <tr r="AI27" s="1"/>
        <tr r="AC25" s="1"/>
        <tr r="AC10" s="1"/>
        <tr r="AC20" s="1"/>
        <tr r="AK19" s="1"/>
        <tr r="AK20" s="1"/>
        <tr r="AC16" s="1"/>
        <tr r="AC5" s="1"/>
        <tr r="AC17" s="1"/>
        <tr r="AC14" s="1"/>
        <tr r="AF27" s="1"/>
        <tr r="AF13" s="1"/>
        <tr r="AF14" s="1"/>
        <tr r="AF11" s="1"/>
        <tr r="AG6" s="1"/>
        <tr r="AG9" s="1"/>
        <tr r="AG15" s="1"/>
        <tr r="AG17" s="1"/>
        <tr r="AG11" s="1"/>
        <tr r="AG14" s="1"/>
        <tr r="AG22" s="1"/>
        <tr r="AG8" s="1"/>
        <tr r="AE21" s="1"/>
        <tr r="AE27" s="1"/>
        <tr r="AE9" s="1"/>
        <tr r="AE13" s="1"/>
        <tr r="AH11" s="1"/>
        <tr r="AH23" s="1"/>
        <tr r="AH18" s="1"/>
        <tr r="AH21" s="1"/>
        <tr r="AH25" s="1"/>
        <tr r="AH16" s="1"/>
        <tr r="AM29" s="1"/>
        <tr r="AM28" s="1"/>
        <tr r="AM8" s="1"/>
        <tr r="AE25" s="1"/>
        <tr r="AE29" s="1"/>
        <tr r="AE20" s="1"/>
        <tr r="AM23" s="1"/>
        <tr r="AN24" s="1"/>
        <tr r="AN25" s="1"/>
        <tr r="AO29" s="1"/>
        <tr r="AO19" s="1"/>
        <tr r="AO14" s="1"/>
        <tr r="F27" s="1"/>
        <tr r="F24" s="1"/>
        <tr r="AO22" s="1"/>
        <tr r="AO18" s="1"/>
        <tr r="AO15" s="1"/>
        <tr r="AN9" s="1"/>
        <tr r="AN19" s="1"/>
        <tr r="J7" s="1"/>
        <tr r="J23" s="1"/>
        <tr r="J19" s="1"/>
        <tr r="J25" s="1"/>
        <tr r="G21" s="1"/>
        <tr r="G27" s="1"/>
        <tr r="G7" s="1"/>
        <tr r="F13" s="1"/>
        <tr r="H17" s="1"/>
        <tr r="AO16" s="1"/>
        <tr r="AO6" s="1"/>
        <tr r="AO21" s="1"/>
        <tr r="J18" s="1"/>
        <tr r="J14" s="1"/>
        <tr r="G13" s="1"/>
        <tr r="AI21" s="1"/>
        <tr r="AF8" s="1"/>
        <tr r="AL20" s="1"/>
        <tr r="AL29" s="1"/>
        <tr r="AL19" s="1"/>
        <tr r="AG7" s="1"/>
        <tr r="AG18" s="1"/>
        <tr r="AK9" s="1"/>
        <tr r="AK8" s="1"/>
        <tr r="AK14" s="1"/>
        <tr r="AK28" s="1"/>
        <tr r="AK23" s="1"/>
        <tr r="AK21" s="1"/>
        <tr r="AD20" s="1"/>
        <tr r="AD28" s="1"/>
        <tr r="AK24" s="1"/>
        <tr r="AD11" s="1"/>
        <tr r="AH22" s="1"/>
        <tr r="AM19" s="1"/>
        <tr r="AM10" s="1"/>
        <tr r="AM22" s="1"/>
        <tr r="AC18" s="1"/>
        <tr r="AC19" s="1"/>
        <tr r="AJ19" s="1"/>
        <tr r="AJ26" s="1"/>
        <tr r="AJ29" s="1"/>
        <tr r="AJ21" s="1"/>
        <tr r="AJ27" s="1"/>
        <tr r="AJ6" s="1"/>
        <tr r="AJ28" s="1"/>
        <tr r="AL6" s="1"/>
        <tr r="AL17" s="1"/>
        <tr r="AD7" s="1"/>
        <tr r="AD22" s="1"/>
        <tr r="AD13" s="1"/>
        <tr r="AD6" s="1"/>
        <tr r="AD19" s="1"/>
        <tr r="AD24" s="1"/>
        <tr r="AH5" s="1"/>
        <tr r="AH17" s="1"/>
        <tr r="AH15" s="1"/>
        <tr r="AI6" s="1"/>
        <tr r="AI12" s="1"/>
        <tr r="AL15" s="1"/>
        <tr r="AL24" s="1"/>
        <tr r="AL8" s="1"/>
        <tr r="AI29" s="1"/>
        <tr r="AI28" s="1"/>
        <tr r="AI10" s="1"/>
        <tr r="AI17" s="1"/>
        <tr r="AI13" s="1"/>
        <tr r="AC11" s="1"/>
        <tr r="AC15" s="1"/>
        <tr r="AF5" s="1"/>
        <tr r="AF16" s="1"/>
        <tr r="AF18" s="1"/>
        <tr r="AF29" s="1"/>
        <tr r="AF26" s="1"/>
        <tr r="AK17" s="1"/>
        <tr r="AK15" s="1"/>
        <tr r="AE6" s="1"/>
        <tr r="AE7" s="1"/>
        <tr r="AH27" s="1"/>
        <tr r="AH14" s="1"/>
        <tr r="AM12" s="1"/>
        <tr r="AM13" s="1"/>
        <tr r="AE22" s="1"/>
        <tr r="AM25" s="1"/>
        <tr r="AM20" s="1"/>
        <tr r="AM24" s="1"/>
        <tr r="AN13" s="1"/>
        <tr r="F20" s="1"/>
        <tr r="F17" s="1"/>
        <tr r="F25" s="1"/>
        <tr r="F5" s="1"/>
        <tr r="G29" s="1"/>
        <tr r="H19" s="1"/>
        <tr r="H24" s="1"/>
        <tr r="AO12" s="1"/>
        <tr r="AO23" s="1"/>
        <tr r="AN16" s="1"/>
        <tr r="AN28" s="1"/>
        <tr r="AN15" s="1"/>
        <tr r="AN17" s="1"/>
        <tr r="G6" s="1"/>
        <tr r="G25" s="1"/>
        <tr r="F23" s="1"/>
        <tr r="F10" s="1"/>
        <tr r="F9" s="1"/>
        <tr r="H13" s="1"/>
        <tr r="H8" s="1"/>
        <tr r="H7" s="1"/>
        <tr r="AO7" s="1"/>
        <tr r="AO17" s="1"/>
        <tr r="I8" s="1"/>
        <tr r="I11" s="1"/>
        <tr r="K7" s="1"/>
        <tr r="K24" s="1"/>
        <tr r="K10" s="1"/>
        <tr r="K22" s="1"/>
        <tr r="K19" s="1"/>
        <tr r="G19" s="1"/>
        <tr r="G26" s="1"/>
        <tr r="G15" s="1"/>
        <tr r="G18" s="1"/>
        <tr r="G22" s="1"/>
        <tr r="G5" s="1"/>
        <tr r="G8" s="1"/>
        <tr r="F28" s="1"/>
        <tr r="F16" s="1"/>
        <tr r="F19" s="1"/>
        <tr r="F29" s="1"/>
        <tr r="F22" s="1"/>
        <tr r="F21" s="1"/>
        <tr r="F15" s="1"/>
        <tr r="F6" s="1"/>
        <tr r="F26" s="1"/>
        <tr r="F11" s="1"/>
        <tr r="I15" s="1"/>
        <tr r="I13" s="1"/>
        <tr r="I14" s="1"/>
        <tr r="I22" s="1"/>
        <tr r="I29" s="1"/>
        <tr r="I7" s="1"/>
        <tr r="I21" s="1"/>
        <tr r="I9" s="1"/>
        <tr r="I19" s="1"/>
        <tr r="I26" s="1"/>
        <tr r="I5" s="1"/>
        <tr r="J28" s="1"/>
        <tr r="J6" s="1"/>
        <tr r="J26" s="1"/>
        <tr r="J9" s="1"/>
        <tr r="J10" s="1"/>
        <tr r="J22" s="1"/>
        <tr r="J27" s="1"/>
        <tr r="J17" s="1"/>
        <tr r="J15" s="1"/>
        <tr r="J16" s="1"/>
        <tr r="H5" s="1"/>
        <tr r="H12" s="1"/>
        <tr r="H10" s="1"/>
        <tr r="H29" s="1"/>
        <tr r="H21" s="1"/>
        <tr r="H9" s="1"/>
        <tr r="H18" s="1"/>
        <tr r="H27" s="1"/>
        <tr r="H20" s="1"/>
        <tr r="H23" s="1"/>
        <tr r="I16" s="1"/>
        <tr r="I27" s="1"/>
        <tr r="I25" s="1"/>
        <tr r="I28" s="1"/>
        <tr r="I24" s="1"/>
        <tr r="I20" s="1"/>
        <tr r="I23" s="1"/>
        <tr r="I17" s="1"/>
        <tr r="I12" s="1"/>
        <tr r="I6" s="1"/>
        <tr r="L17" s="1"/>
        <tr r="L5" s="1"/>
        <tr r="L24" s="1"/>
        <tr r="L25" s="1"/>
        <tr r="K12" s="1"/>
        <tr r="K5" s="1"/>
        <tr r="K26" s="1"/>
        <tr r="K6" s="1"/>
        <tr r="K18" s="1"/>
        <tr r="K28" s="1"/>
        <tr r="K20" s="1"/>
        <tr r="K29" s="1"/>
        <tr r="K27" s="1"/>
        <tr r="K8" s="1"/>
        <tr r="L26" s="1"/>
        <tr r="L13" s="1"/>
        <tr r="L14" s="1"/>
        <tr r="L7" s="1"/>
        <tr r="L23" s="1"/>
        <tr r="L9" s="1"/>
        <tr r="L29" s="1"/>
        <tr r="L19" s="1"/>
        <tr r="L11" s="1"/>
        <tr r="L18" s="1"/>
        <tr r="L21" s="1"/>
        <tr r="O16" s="1"/>
        <tr r="O12" s="1"/>
        <tr r="O24" s="1"/>
        <tr r="O11" s="1"/>
        <tr r="M13" s="1"/>
        <tr r="M14" s="1"/>
        <tr r="M17" s="1"/>
        <tr r="M24" s="1"/>
        <tr r="M9" s="1"/>
        <tr r="L8" s="1"/>
        <tr r="L15" s="1"/>
        <tr r="L10" s="1"/>
        <tr r="L27" s="1"/>
        <tr r="L16" s="1"/>
        <tr r="L22" s="1"/>
        <tr r="L12" s="1"/>
        <tr r="L20" s="1"/>
        <tr r="L6" s="1"/>
        <tr r="L28" s="1"/>
        <tr r="M22" s="1"/>
        <tr r="M29" s="1"/>
        <tr r="M18" s="1"/>
        <tr r="M28" s="1"/>
        <tr r="M26" s="1"/>
        <tr r="M10" s="1"/>
        <tr r="M20" s="1"/>
        <tr r="M15" s="1"/>
        <tr r="M19" s="1"/>
        <tr r="M23" s="1"/>
        <tr r="M21" s="1"/>
        <tr r="M25" s="1"/>
        <tr r="M27" s="1"/>
        <tr r="M6" s="1"/>
        <tr r="M8" s="1"/>
        <tr r="M11" s="1"/>
        <tr r="M12" s="1"/>
        <tr r="M5" s="1"/>
        <tr r="M7" s="1"/>
        <tr r="M16" s="1"/>
        <tr r="R23" s="1"/>
        <tr r="R22" s="1"/>
        <tr r="R25" s="1"/>
        <tr r="R17" s="1"/>
        <tr r="N9" s="1"/>
        <tr r="N15" s="1"/>
        <tr r="N10" s="1"/>
        <tr r="N29" s="1"/>
        <tr r="N20" s="1"/>
        <tr r="N6" s="1"/>
        <tr r="N18" s="1"/>
        <tr r="N11" s="1"/>
        <tr r="N22" s="1"/>
        <tr r="N17" s="1"/>
        <tr r="N8" s="1"/>
        <tr r="N24" s="1"/>
        <tr r="N19" s="1"/>
        <tr r="N26" s="1"/>
        <tr r="P29" s="1"/>
        <tr r="P23" s="1"/>
        <tr r="P28" s="1"/>
        <tr r="P19" s="1"/>
        <tr r="P24" s="1"/>
        <tr r="P13" s="1"/>
        <tr r="P14" s="1"/>
        <tr r="P6" s="1"/>
        <tr r="P17" s="1"/>
        <tr r="P18" s="1"/>
        <tr r="P27" s="1"/>
        <tr r="P12" s="1"/>
        <tr r="P7" s="1"/>
        <tr r="P9" s="1"/>
        <tr r="P25" s="1"/>
        <tr r="Q8" s="1"/>
        <tr r="Q15" s="1"/>
        <tr r="Q20" s="1"/>
        <tr r="Q16" s="1"/>
        <tr r="T26" s="1"/>
        <tr r="T9" s="1"/>
        <tr r="T20" s="1"/>
        <tr r="T5" s="1"/>
        <tr r="T16" s="1"/>
        <tr r="T15" s="1"/>
        <tr r="T25" s="1"/>
        <tr r="T13" s="1"/>
        <tr r="T14" s="1"/>
        <tr r="T21" s="1"/>
        <tr r="T11" s="1"/>
        <tr r="N21" s="1"/>
        <tr r="N13" s="1"/>
        <tr r="N14" s="1"/>
        <tr r="N27" s="1"/>
        <tr r="N28" s="1"/>
        <tr r="N23" s="1"/>
        <tr r="N12" s="1"/>
        <tr r="N25" s="1"/>
        <tr r="N5" s="1"/>
        <tr r="N7" s="1"/>
        <tr r="N16" s="1"/>
        <tr r="O18" s="1"/>
        <tr r="O15" s="1"/>
        <tr r="O22" s="1"/>
        <tr r="O9" s="1"/>
        <tr r="O5" s="1"/>
        <tr r="O25" s="1"/>
        <tr r="O28" s="1"/>
        <tr r="O10" s="1"/>
        <tr r="O23" s="1"/>
        <tr r="O6" s="1"/>
        <tr r="S23" s="1"/>
        <tr r="S11" s="1"/>
        <tr r="S19" s="1"/>
        <tr r="S27" s="1"/>
        <tr r="P5" s="1"/>
        <tr r="P16" s="1"/>
        <tr r="P20" s="1"/>
        <tr r="P26" s="1"/>
        <tr r="P8" s="1"/>
        <tr r="P21" s="1"/>
        <tr r="P11" s="1"/>
        <tr r="P15" s="1"/>
        <tr r="P22" s="1"/>
        <tr r="P10" s="1"/>
        <tr r="R9" s="1"/>
        <tr r="R27" s="1"/>
        <tr r="R16" s="1"/>
        <tr r="R26" s="1"/>
        <tr r="R11" s="1"/>
        <tr r="R12" s="1"/>
        <tr r="R6" s="1"/>
        <tr r="R10" s="1"/>
        <tr r="R7" s="1"/>
        <tr r="R5" s="1"/>
        <tr r="Q27" s="1"/>
        <tr r="Q6" s="1"/>
        <tr r="Q17" s="1"/>
        <tr r="Q5" s="1"/>
        <tr r="Q10" s="1"/>
        <tr r="Q29" s="1"/>
        <tr r="Q9" s="1"/>
        <tr r="Q25" s="1"/>
        <tr r="Q18" s="1"/>
        <tr r="Q11" s="1"/>
        <tr r="V25" s="1"/>
        <tr r="V7" s="1"/>
        <tr r="V23" s="1"/>
        <tr r="V16" s="1"/>
        <tr r="O17" s="1"/>
        <tr r="O29" s="1"/>
        <tr r="O27" s="1"/>
        <tr r="O20" s="1"/>
        <tr r="O8" s="1"/>
        <tr r="O21" s="1"/>
        <tr r="O26" s="1"/>
        <tr r="O13" s="1"/>
        <tr r="O14" s="1"/>
        <tr r="O7" s="1"/>
        <tr r="O19" s="1"/>
        <tr r="U27" s="1"/>
        <tr r="U10" s="1"/>
        <tr r="U25" s="1"/>
        <tr r="U8" s="1"/>
        <tr r="U17" s="1"/>
        <tr r="U29" s="1"/>
        <tr r="U16" s="1"/>
        <tr r="U19" s="1"/>
        <tr r="U18" s="1"/>
        <tr r="U6" s="1"/>
        <tr r="T23" s="1"/>
        <tr r="T12" s="1"/>
        <tr r="T17" s="1"/>
        <tr r="T6" s="1"/>
        <tr r="Q12" s="1"/>
        <tr r="Q24" s="1"/>
        <tr r="Q13" s="1"/>
        <tr r="Q14" s="1"/>
        <tr r="Q19" s="1"/>
        <tr r="Q21" s="1"/>
        <tr r="Q26" s="1"/>
        <tr r="Q22" s="1"/>
        <tr r="Q23" s="1"/>
        <tr r="Q7" s="1"/>
        <tr r="Q28" s="1"/>
        <tr r="S17" s="1"/>
        <tr r="S21" s="1"/>
        <tr r="S6" s="1"/>
        <tr r="S5" s="1"/>
        <tr r="S25" s="1"/>
        <tr r="S16" s="1"/>
        <tr r="S18" s="1"/>
        <tr r="S8" s="1"/>
        <tr r="S10" s="1"/>
        <tr r="S20" s="1"/>
        <tr r="U9" s="1"/>
        <tr r="U26" s="1"/>
        <tr r="U15" s="1"/>
        <tr r="U5" s="1"/>
        <tr r="S12" s="1"/>
        <tr r="S26" s="1"/>
        <tr r="S13" s="1"/>
        <tr r="S14" s="1"/>
        <tr r="S9" s="1"/>
        <tr r="S29" s="1"/>
        <tr r="S15" s="1"/>
        <tr r="S24" s="1"/>
        <tr r="S22" s="1"/>
        <tr r="S7" s="1"/>
        <tr r="S28" s="1"/>
        <tr r="R21" s="1"/>
        <tr r="R13" s="1"/>
        <tr r="R14" s="1"/>
        <tr r="R29" s="1"/>
        <tr r="R15" s="1"/>
        <tr r="R8" s="1"/>
        <tr r="R19" s="1"/>
        <tr r="R18" s="1"/>
        <tr r="R28" s="1"/>
        <tr r="R20" s="1"/>
        <tr r="R24" s="1"/>
        <tr r="W8" s="1"/>
        <tr r="W16" s="1"/>
        <tr r="W15" s="1"/>
        <tr r="W9" s="1"/>
        <tr r="W21" s="1"/>
        <tr r="W10" s="1"/>
        <tr r="W26" s="1"/>
        <tr r="W28" s="1"/>
        <tr r="W29" s="1"/>
        <tr r="W23" s="1"/>
        <tr r="T29" s="1"/>
        <tr r="T10" s="1"/>
        <tr r="T27" s="1"/>
        <tr r="T22" s="1"/>
        <tr r="T18" s="1"/>
        <tr r="T19" s="1"/>
        <tr r="T28" s="1"/>
        <tr r="T24" s="1"/>
        <tr r="T8" s="1"/>
        <tr r="T7" s="1"/>
        <tr r="W22" s="1"/>
        <tr r="W20" s="1"/>
        <tr r="W13" s="1"/>
        <tr r="W14" s="1"/>
        <tr r="W17" s="1"/>
        <tr r="V8" s="1"/>
        <tr r="V27" s="1"/>
        <tr r="V28" s="1"/>
        <tr r="V29" s="1"/>
        <tr r="V12" s="1"/>
        <tr r="V17" s="1"/>
        <tr r="V21" s="1"/>
        <tr r="V15" s="1"/>
        <tr r="V22" s="1"/>
        <tr r="V24" s="1"/>
        <tr r="V5" s="1"/>
        <tr r="V18" s="1"/>
        <tr r="V26" s="1"/>
        <tr r="V20" s="1"/>
        <tr r="V6" s="1"/>
        <tr r="V13" s="1"/>
        <tr r="V14" s="1"/>
        <tr r="V9" s="1"/>
        <tr r="V11" s="1"/>
        <tr r="V19" s="1"/>
        <tr r="V10" s="1"/>
        <tr r="U13" s="1"/>
        <tr r="U14" s="1"/>
        <tr r="U20" s="1"/>
        <tr r="U22" s="1"/>
        <tr r="U21" s="1"/>
        <tr r="U28" s="1"/>
        <tr r="U11" s="1"/>
        <tr r="U24" s="1"/>
        <tr r="U12" s="1"/>
        <tr r="U23" s="1"/>
        <tr r="U7" s="1"/>
        <tr r="W7" s="1"/>
        <tr r="W5" s="1"/>
        <tr r="W24" s="1"/>
        <tr r="W12" s="1"/>
        <tr r="W19" s="1"/>
        <tr r="W18" s="1"/>
        <tr r="W27" s="1"/>
        <tr r="W25" s="1"/>
        <tr r="W11" s="1"/>
        <tr r="W6" s="1"/>
        <tr r="AB17" s="1"/>
        <tr r="AB8" s="1"/>
        <tr r="AB23" s="1"/>
        <tr r="AB26" s="1"/>
        <tr r="AB5" s="1"/>
        <tr r="AB18" s="1"/>
        <tr r="AB29" s="1"/>
        <tr r="AB22" s="1"/>
        <tr r="AB25" s="1"/>
        <tr r="AB24" s="1"/>
        <tr r="Z27" s="1"/>
        <tr r="Z26" s="1"/>
        <tr r="Z19" s="1"/>
        <tr r="Z8" s="1"/>
        <tr r="Z22" s="1"/>
        <tr r="Z16" s="1"/>
        <tr r="Z29" s="1"/>
        <tr r="Z13" s="1"/>
        <tr r="Z14" s="1"/>
        <tr r="Z6" s="1"/>
        <tr r="Z7" s="1"/>
        <tr r="Z18" s="1"/>
        <tr r="Z20" s="1"/>
        <tr r="Z10" s="1"/>
        <tr r="Z25" s="1"/>
        <tr r="Y25" s="1"/>
        <tr r="Y23" s="1"/>
        <tr r="Y21" s="1"/>
        <tr r="Y20" s="1"/>
        <tr r="Y27" s="1"/>
        <tr r="Y11" s="1"/>
        <tr r="Y28" s="1"/>
        <tr r="Y22" s="1"/>
        <tr r="Y29" s="1"/>
        <tr r="Y16" s="1"/>
        <tr r="AA22" s="1"/>
        <tr r="AA28" s="1"/>
        <tr r="AA25" s="1"/>
        <tr r="AA15" s="1"/>
        <tr r="AA29" s="1"/>
        <tr r="AA17" s="1"/>
        <tr r="AA7" s="1"/>
        <tr r="AA20" s="1"/>
        <tr r="AA18" s="1"/>
        <tr r="AA10" s="1"/>
        <tr r="X15" s="1"/>
        <tr r="X13" s="1"/>
        <tr r="X14" s="1"/>
        <tr r="AB27" s="1"/>
        <tr r="X8" s="1"/>
        <tr r="X18" s="1"/>
        <tr r="AB12" s="1"/>
        <tr r="AB6" s="1"/>
        <tr r="AB16" s="1"/>
        <tr r="Y15" s="1"/>
        <tr r="Y9" s="1"/>
        <tr r="Y6" s="1"/>
        <tr r="Y17" s="1"/>
        <tr r="Y19" s="1"/>
        <tr r="Y26" s="1"/>
        <tr r="Y7" s="1"/>
        <tr r="Y10" s="1"/>
        <tr r="Y13" s="1"/>
        <tr r="Y14" s="1"/>
        <tr r="Y5" s="1"/>
        <tr r="AA24" s="1"/>
        <tr r="AA26" s="1"/>
        <tr r="AA5" s="1"/>
        <tr r="AA6" s="1"/>
        <tr r="Z17" s="1"/>
        <tr r="Z15" s="1"/>
        <tr r="Z12" s="1"/>
        <tr r="Z21" s="1"/>
        <tr r="Z28" s="1"/>
        <tr r="Z24" s="1"/>
        <tr r="Z11" s="1"/>
        <tr r="Z23" s="1"/>
        <tr r="Z5" s="1"/>
        <tr r="Z9" s="1"/>
        <tr r="AB9" s="1"/>
        <tr r="AB10" s="1"/>
        <tr r="AB15" s="1"/>
        <tr r="AB20" s="1"/>
        <tr r="AB13" s="1"/>
        <tr r="AB14" s="1"/>
        <tr r="AB7" s="1"/>
        <tr r="AB19" s="1"/>
        <tr r="AB11" s="1"/>
        <tr r="AB21" s="1"/>
        <tr r="AB28" s="1"/>
        <tr r="Y12" s="1"/>
        <tr r="Y24" s="1"/>
        <tr r="Y8" s="1"/>
        <tr r="Y18" s="1"/>
        <tr r="AA19" s="1"/>
        <tr r="AA11" s="1"/>
        <tr r="AA12" s="1"/>
        <tr r="AA27" s="1"/>
        <tr r="AA13" s="1"/>
        <tr r="AA14" s="1"/>
        <tr r="AA8" s="1"/>
        <tr r="AA21" s="1"/>
        <tr r="AA23" s="1"/>
        <tr r="AA9" s="1"/>
        <tr r="AA16" s="1"/>
        <tr r="X21" s="1"/>
        <tr r="X17" s="1"/>
        <tr r="X20" s="1"/>
        <tr r="X24" s="1"/>
        <tr r="X25" s="1"/>
        <tr r="X12" s="1"/>
        <tr r="X11" s="1"/>
        <tr r="X26" s="1"/>
        <tr r="X10" s="1"/>
        <tr r="X7" s="1"/>
        <tr r="X9" s="1"/>
        <tr r="X27" s="1"/>
        <tr r="X5" s="1"/>
        <tr r="X22" s="1"/>
        <tr r="X16" s="1"/>
        <tr r="X29" s="1"/>
        <tr r="X19" s="1"/>
        <tr r="X28" s="1"/>
        <tr r="X6" s="1"/>
        <tr r="X23" s="1"/>
      </tp>
      <tp t="s">
        <v>#N/A N/A</v>
        <stp/>
        <stp>BDP|72625294174395182</stp>
        <tr r="S17" s="1"/>
      </tp>
      <tp t="s">
        <v>#N/A N/A</v>
        <stp/>
        <stp>BADDPERIODS|9310633599450212123</stp>
        <tr r="E28" s="1"/>
        <tr r="E7" s="1"/>
        <tr r="E13" s="1"/>
        <tr r="E14" s="1"/>
        <tr r="E23" s="1"/>
        <tr r="E24" s="1"/>
        <tr r="E10" s="1"/>
        <tr r="E11" s="1"/>
        <tr r="E17" s="1"/>
        <tr r="E19" s="1"/>
        <tr r="E27" s="1"/>
        <tr r="E5" s="1"/>
        <tr r="E18" s="1"/>
        <tr r="E29" s="1"/>
        <tr r="E25" s="1"/>
        <tr r="E9" s="1"/>
        <tr r="E26" s="1"/>
        <tr r="E6" s="1"/>
        <tr r="E15" s="1"/>
        <tr r="E8" s="1"/>
        <tr r="E20" s="1"/>
        <tr r="E22" s="1"/>
        <tr r="E12" s="1"/>
        <tr r="E16" s="1"/>
        <tr r="E21" s="1"/>
      </tp>
      <tp t="s">
        <v>#N/A N/A</v>
        <stp/>
        <stp>BDP|15872937201736619</stp>
        <tr r="J28" s="1"/>
      </tp>
      <tp t="s">
        <v>#N/A N/A</v>
        <stp/>
        <stp>BDP|70777173134040760</stp>
        <tr r="F28" s="1"/>
      </tp>
      <tp t="s">
        <v>#N/A N/A</v>
        <stp/>
        <stp>BADDPERIODS|9972021762668018941</stp>
        <tr r="D18" s="1"/>
        <tr r="D29" s="1"/>
        <tr r="D5" s="1"/>
        <tr r="D17" s="1"/>
        <tr r="D11" s="1"/>
        <tr r="D22" s="1"/>
        <tr r="D23" s="1"/>
        <tr r="D25" s="1"/>
        <tr r="D19" s="1"/>
        <tr r="D12" s="1"/>
        <tr r="D9" s="1"/>
        <tr r="D26" s="1"/>
        <tr r="D27" s="1"/>
        <tr r="D7" s="1"/>
        <tr r="D15" s="1"/>
        <tr r="D14" s="1"/>
        <tr r="D8" s="1"/>
        <tr r="D21" s="1"/>
        <tr r="D16" s="1"/>
        <tr r="D28" s="1"/>
        <tr r="D13" s="1"/>
        <tr r="D10" s="1"/>
        <tr r="D20" s="1"/>
        <tr r="D6" s="1"/>
        <tr r="D24" s="1"/>
      </tp>
      <tp t="s">
        <v>#N/A N/A</v>
        <stp/>
        <stp>BDP|69931888701775406</stp>
        <tr r="AO12" s="1"/>
      </tp>
      <tp t="s">
        <v>#N/A N/A</v>
        <stp/>
        <stp>BDP|64629660245031202</stp>
        <tr r="AG26" s="1"/>
      </tp>
      <tp t="s">
        <v>#N/A N/A</v>
        <stp/>
        <stp>BDP|398464107534282509</stp>
        <tr r="AM19" s="1"/>
      </tp>
      <tp t="s">
        <v>#N/A N/A</v>
        <stp/>
        <stp>BDP|103061057482504274</stp>
        <tr r="N18" s="1"/>
      </tp>
      <tp t="s">
        <v>#N/A N/A</v>
        <stp/>
        <stp>BDP|147202634425298090</stp>
        <tr r="Y15" s="1"/>
      </tp>
      <tp t="s">
        <v>#N/A N/A</v>
        <stp/>
        <stp>BDP|873723233396747642</stp>
        <tr r="R27" s="1"/>
      </tp>
      <tp t="s">
        <v>#N/A N/A</v>
        <stp/>
        <stp>BDP|993230851147811429</stp>
        <tr r="U27" s="1"/>
      </tp>
      <tp t="s">
        <v>#N/A N/A</v>
        <stp/>
        <stp>BDP|457156051032238158</stp>
        <tr r="AM6" s="1"/>
      </tp>
      <tp t="s">
        <v>#N/A N/A</v>
        <stp/>
        <stp>BDP|290623006639925880</stp>
        <tr r="I27" s="1"/>
      </tp>
      <tp t="s">
        <v>#N/A N/A</v>
        <stp/>
        <stp>BDP|565699573903877564</stp>
        <tr r="AE18" s="1"/>
      </tp>
      <tp t="s">
        <v>#N/A N/A</v>
        <stp/>
        <stp>BDP|690775736476599506</stp>
        <tr r="T5" s="1"/>
      </tp>
      <tp t="s">
        <v>#N/A N/A</v>
        <stp/>
        <stp>BDP|184099732594811198</stp>
        <tr r="AN29" s="1"/>
      </tp>
      <tp t="s">
        <v>#N/A N/A</v>
        <stp/>
        <stp>BDP|734421677101615400</stp>
        <tr r="AK12" s="1"/>
      </tp>
      <tp t="s">
        <v>#N/A N/A</v>
        <stp/>
        <stp>BDP|481556309690499397</stp>
        <tr r="AH26" s="1"/>
      </tp>
      <tp t="s">
        <v>#N/A N/A</v>
        <stp/>
        <stp>BDP|425226628699262863</stp>
        <tr r="J6" s="1"/>
      </tp>
      <tp t="s">
        <v>#N/A Requesting Data...3664431751</v>
        <stp/>
        <stp>BDP|721696145564261728</stp>
        <tr r="I2" s="1"/>
      </tp>
      <tp t="s">
        <v>#N/A N/A</v>
        <stp/>
        <stp>BDP|883258149536417146</stp>
        <tr r="B6" s="1"/>
      </tp>
      <tp t="s">
        <v>#N/A N/A</v>
        <stp/>
        <stp>BDP|453912100100955891</stp>
        <tr r="AD23" s="1"/>
      </tp>
      <tp t="s">
        <v>#N/A N/A</v>
        <stp/>
        <stp>BDP|136045372454526271</stp>
        <tr r="R9" s="1"/>
      </tp>
      <tp t="s">
        <v>#N/A Requesting Data...3809137325</v>
        <stp/>
        <stp>BTODAY|2371188678518069832</stp>
        <tr r="AI7" s="1"/>
        <tr r="AI7" s="1"/>
        <tr r="AI8" s="1"/>
        <tr r="AI8" s="1"/>
        <tr r="AL11" s="1"/>
        <tr r="AL11" s="1"/>
        <tr r="AG24" s="1"/>
        <tr r="AG24" s="1"/>
        <tr r="AG21" s="1"/>
        <tr r="AG21" s="1"/>
        <tr r="AK12" s="1"/>
        <tr r="AK12" s="1"/>
        <tr r="AK13" s="1"/>
        <tr r="AK13" s="1"/>
        <tr r="AD8" s="1"/>
        <tr r="AD8" s="1"/>
        <tr r="AD25" s="1"/>
        <tr r="AD25" s="1"/>
        <tr r="AD27" s="1"/>
        <tr r="AD27" s="1"/>
        <tr r="AD12" s="1"/>
        <tr r="AD12" s="1"/>
        <tr r="AD5" s="1"/>
        <tr r="AD5" s="1"/>
        <tr r="AD18" s="1"/>
        <tr r="AD18" s="1"/>
        <tr r="AD10" s="1"/>
        <tr r="AD10" s="1"/>
        <tr r="AH28" s="1"/>
        <tr r="AH28" s="1"/>
        <tr r="AH6" s="1"/>
        <tr r="AH6" s="1"/>
        <tr r="AM16" s="1"/>
        <tr r="AM16" s="1"/>
        <tr r="AC26" s="1"/>
        <tr r="AC26" s="1"/>
        <tr r="AJ16" s="1"/>
        <tr r="AJ16" s="1"/>
        <tr r="AJ25" s="1"/>
        <tr r="AJ25" s="1"/>
        <tr r="AJ18" s="1"/>
        <tr r="AJ18" s="1"/>
        <tr r="AJ23" s="1"/>
        <tr r="AJ23" s="1"/>
        <tr r="AL28" s="1"/>
        <tr r="AL28" s="1"/>
        <tr r="AL16" s="1"/>
        <tr r="AL16" s="1"/>
        <tr r="AD14" s="1"/>
        <tr r="AD14" s="1"/>
        <tr r="AH12" s="1"/>
        <tr r="AH12" s="1"/>
        <tr r="AH8" s="1"/>
        <tr r="AH8" s="1"/>
        <tr r="AH29" s="1"/>
        <tr r="AH29" s="1"/>
        <tr r="AI24" s="1"/>
        <tr r="AI24" s="1"/>
        <tr r="AI20" s="1"/>
        <tr r="AI20" s="1"/>
        <tr r="AI25" s="1"/>
        <tr r="AI25" s="1"/>
        <tr r="AL25" s="1"/>
        <tr r="AL25" s="1"/>
        <tr r="AL21" s="1"/>
        <tr r="AL21" s="1"/>
        <tr r="AL26" s="1"/>
        <tr r="AL26" s="1"/>
        <tr r="AI19" s="1"/>
        <tr r="AI19" s="1"/>
        <tr r="AI15" s="1"/>
        <tr r="AI15" s="1"/>
        <tr r="AI23" s="1"/>
        <tr r="AI23" s="1"/>
        <tr r="AC28" s="1"/>
        <tr r="AC28" s="1"/>
        <tr r="AC7" s="1"/>
        <tr r="AC7" s="1"/>
        <tr r="AC8" s="1"/>
        <tr r="AC8" s="1"/>
        <tr r="AF20" s="1"/>
        <tr r="AF20" s="1"/>
        <tr r="AF23" s="1"/>
        <tr r="AF23" s="1"/>
        <tr r="AF6" s="1"/>
        <tr r="AF6" s="1"/>
        <tr r="AF12" s="1"/>
        <tr r="AF12" s="1"/>
        <tr r="AF25" s="1"/>
        <tr r="AF25" s="1"/>
        <tr r="AK27" s="1"/>
        <tr r="AK27" s="1"/>
        <tr r="AC22" s="1"/>
        <tr r="AC22" s="1"/>
        <tr r="AC21" s="1"/>
        <tr r="AC21" s="1"/>
        <tr r="AF9" s="1"/>
        <tr r="AF9" s="1"/>
        <tr r="AG26" s="1"/>
        <tr r="AG26" s="1"/>
        <tr r="AG20" s="1"/>
        <tr r="AG20" s="1"/>
        <tr r="AG27" s="1"/>
        <tr r="AG27" s="1"/>
        <tr r="AG29" s="1"/>
        <tr r="AG29" s="1"/>
        <tr r="AH20" s="1"/>
        <tr r="AH20" s="1"/>
        <tr r="AH13" s="1"/>
        <tr r="AH13" s="1"/>
        <tr r="AM14" s="1"/>
        <tr r="AM14" s="1"/>
        <tr r="AM15" s="1"/>
        <tr r="AM15" s="1"/>
        <tr r="AM18" s="1"/>
        <tr r="AM18" s="1"/>
        <tr r="AM7" s="1"/>
        <tr r="AM7" s="1"/>
        <tr r="AE16" s="1"/>
        <tr r="AE16" s="1"/>
        <tr r="AE24" s="1"/>
        <tr r="AE24" s="1"/>
        <tr r="AE8" s="1"/>
        <tr r="AE8" s="1"/>
        <tr r="AN5" s="1"/>
        <tr r="AN5" s="1"/>
        <tr r="AN10" s="1"/>
        <tr r="AN10" s="1"/>
        <tr r="AN12" s="1"/>
        <tr r="AN12" s="1"/>
        <tr r="AN26" s="1"/>
        <tr r="AN26" s="1"/>
        <tr r="D18" s="1"/>
        <tr r="D18" s="1"/>
        <tr r="AO20" s="1"/>
        <tr r="AO20" s="1"/>
        <tr r="AN14" s="1"/>
        <tr r="AN14" s="1"/>
        <tr r="F7" s="1"/>
        <tr r="F7" s="1"/>
        <tr r="F18" s="1"/>
        <tr r="F18" s="1"/>
        <tr r="F8" s="1"/>
        <tr r="F8" s="1"/>
        <tr r="G17" s="1"/>
        <tr r="G17" s="1"/>
        <tr r="H11" s="1"/>
        <tr r="H11" s="1"/>
        <tr r="H22" s="1"/>
        <tr r="H22" s="1"/>
        <tr r="AO8" s="1"/>
        <tr r="AO8" s="1"/>
        <tr r="AO5" s="1"/>
        <tr r="AO5" s="1"/>
        <tr r="AO11" s="1"/>
        <tr r="AO11" s="1"/>
        <tr r="AO24" s="1"/>
        <tr r="AO24" s="1"/>
        <tr r="D29" s="1"/>
        <tr r="D29" s="1"/>
        <tr r="D5" s="1"/>
        <tr r="D5" s="1"/>
        <tr r="AN22" s="1"/>
        <tr r="AN22" s="1"/>
        <tr r="AN27" s="1"/>
        <tr r="AN27" s="1"/>
        <tr r="AN8" s="1"/>
        <tr r="AN8" s="1"/>
        <tr r="J21" s="1"/>
        <tr r="J21" s="1"/>
        <tr r="J11" s="1"/>
        <tr r="J11" s="1"/>
        <tr r="J12" s="1"/>
        <tr r="J12" s="1"/>
        <tr r="G11" s="1"/>
        <tr r="G11" s="1"/>
        <tr r="H14" s="1"/>
        <tr r="H14" s="1"/>
        <tr r="H28" s="1"/>
        <tr r="H28" s="1"/>
        <tr r="H25" s="1"/>
        <tr r="H25" s="1"/>
        <tr r="H26" s="1"/>
        <tr r="H26" s="1"/>
        <tr r="H6" s="1"/>
        <tr r="H6" s="1"/>
        <tr r="AO25" s="1"/>
        <tr r="AO25" s="1"/>
        <tr r="AO28" s="1"/>
        <tr r="AO28" s="1"/>
        <tr r="AO27" s="1"/>
        <tr r="AO27" s="1"/>
        <tr r="AO9" s="1"/>
        <tr r="AO9" s="1"/>
        <tr r="E28" s="1"/>
        <tr r="E28" s="1"/>
        <tr r="E7" s="1"/>
        <tr r="E7" s="1"/>
        <tr r="E13" s="1"/>
        <tr r="E13" s="1"/>
        <tr r="E14" s="1"/>
        <tr r="E14" s="1"/>
        <tr r="E23" s="1"/>
        <tr r="E23" s="1"/>
        <tr r="J29" s="1"/>
        <tr r="J29" s="1"/>
        <tr r="J13" s="1"/>
        <tr r="J13" s="1"/>
        <tr r="I10" s="1"/>
        <tr r="I10" s="1"/>
        <tr r="I18" s="1"/>
        <tr r="I18" s="1"/>
        <tr r="K11" s="1"/>
        <tr r="K11" s="1"/>
        <tr r="K17" s="1"/>
        <tr r="K17" s="1"/>
        <tr r="K9" s="1"/>
        <tr r="K9" s="1"/>
        <tr r="K25" s="1"/>
        <tr r="K25" s="1"/>
        <tr r="K21" s="1"/>
        <tr r="K21" s="1"/>
        <tr r="K13" s="1"/>
        <tr r="K13" s="1"/>
        <tr r="K14" s="1"/>
        <tr r="K14" s="1"/>
        <tr r="D17" s="1"/>
        <tr r="D17" s="1"/>
        <tr r="D11" s="1"/>
        <tr r="D11" s="1"/>
        <tr r="D22" s="1"/>
        <tr r="D22" s="1"/>
        <tr r="D23" s="1"/>
        <tr r="D23" s="1"/>
        <tr r="D25" s="1"/>
        <tr r="D25" s="1"/>
        <tr r="D19" s="1"/>
        <tr r="D19" s="1"/>
        <tr r="K15" s="1"/>
        <tr r="K15" s="1"/>
        <tr r="K23" s="1"/>
        <tr r="K23" s="1"/>
        <tr r="K16" s="1"/>
        <tr r="K16" s="1"/>
        <tr r="G12" s="1"/>
        <tr r="G12" s="1"/>
        <tr r="G23" s="1"/>
        <tr r="G23" s="1"/>
        <tr r="AF19" s="1"/>
        <tr r="AF19" s="1"/>
        <tr r="AF17" s="1"/>
        <tr r="AF17" s="1"/>
        <tr r="AF7" s="1"/>
        <tr r="AF7" s="1"/>
        <tr r="AL12" s="1"/>
        <tr r="AL12" s="1"/>
        <tr r="AL13" s="1"/>
        <tr r="AL13" s="1"/>
        <tr r="AK7" s="1"/>
        <tr r="AK7" s="1"/>
        <tr r="AK11" s="1"/>
        <tr r="AK11" s="1"/>
        <tr r="AK5" s="1"/>
        <tr r="AK5" s="1"/>
        <tr r="AD29" s="1"/>
        <tr r="AD29" s="1"/>
        <tr r="AD9" s="1"/>
        <tr r="AD9" s="1"/>
        <tr r="AK26" s="1"/>
        <tr r="AK26" s="1"/>
        <tr r="AM27" s="1"/>
        <tr r="AM27" s="1"/>
        <tr r="AM21" s="1"/>
        <tr r="AM21" s="1"/>
        <tr r="AM5" s="1"/>
        <tr r="AM5" s="1"/>
        <tr r="AC23" s="1"/>
        <tr r="AC23" s="1"/>
        <tr r="AJ5" s="1"/>
        <tr r="AJ5" s="1"/>
        <tr r="AJ22" s="1"/>
        <tr r="AJ22" s="1"/>
        <tr r="AJ8" s="1"/>
        <tr r="AJ8" s="1"/>
        <tr r="AJ17" s="1"/>
        <tr r="AJ17" s="1"/>
        <tr r="AJ13" s="1"/>
        <tr r="AJ13" s="1"/>
        <tr r="AJ10" s="1"/>
        <tr r="AJ10" s="1"/>
        <tr r="AJ12" s="1"/>
        <tr r="AJ12" s="1"/>
        <tr r="AD23" s="1"/>
        <tr r="AD23" s="1"/>
        <tr r="AD17" s="1"/>
        <tr r="AD17" s="1"/>
        <tr r="AE5" s="1"/>
        <tr r="AE5" s="1"/>
        <tr r="AE15" s="1"/>
        <tr r="AE15" s="1"/>
        <tr r="AE28" s="1"/>
        <tr r="AE28" s="1"/>
        <tr r="AI22" s="1"/>
        <tr r="AI22" s="1"/>
        <tr r="AI26" s="1"/>
        <tr r="AI26" s="1"/>
        <tr r="AL7" s="1"/>
        <tr r="AL7" s="1"/>
        <tr r="AL5" s="1"/>
        <tr r="AL5" s="1"/>
        <tr r="AI14" s="1"/>
        <tr r="AI14" s="1"/>
        <tr r="AC9" s="1"/>
        <tr r="AC9" s="1"/>
        <tr r="AC12" s="1"/>
        <tr r="AC12" s="1"/>
        <tr r="AK10" s="1"/>
        <tr r="AK10" s="1"/>
        <tr r="AK16" s="1"/>
        <tr r="AK16" s="1"/>
        <tr r="AK22" s="1"/>
        <tr r="AK22" s="1"/>
        <tr r="AK25" s="1"/>
        <tr r="AK25" s="1"/>
        <tr r="AK29" s="1"/>
        <tr r="AK29" s="1"/>
        <tr r="AC6" s="1"/>
        <tr r="AC6" s="1"/>
        <tr r="AC29" s="1"/>
        <tr r="AC29" s="1"/>
        <tr r="AC24" s="1"/>
        <tr r="AC24" s="1"/>
        <tr r="AC27" s="1"/>
        <tr r="AC27" s="1"/>
        <tr r="AC13" s="1"/>
        <tr r="AC13" s="1"/>
        <tr r="AF28" s="1"/>
        <tr r="AF28" s="1"/>
        <tr r="AF15" s="1"/>
        <tr r="AF15" s="1"/>
        <tr r="AF21" s="1"/>
        <tr r="AF21" s="1"/>
        <tr r="AF24" s="1"/>
        <tr r="AF24" s="1"/>
        <tr r="AF10" s="1"/>
        <tr r="AF10" s="1"/>
        <tr r="AF22" s="1"/>
        <tr r="AF22" s="1"/>
        <tr r="AG28" s="1"/>
        <tr r="AG28" s="1"/>
        <tr r="AG16" s="1"/>
        <tr r="AG16" s="1"/>
        <tr r="AG23" s="1"/>
        <tr r="AG23" s="1"/>
        <tr r="AG12" s="1"/>
        <tr r="AG12" s="1"/>
        <tr r="AG5" s="1"/>
        <tr r="AG5" s="1"/>
        <tr r="AG25" s="1"/>
        <tr r="AG25" s="1"/>
        <tr r="AG10" s="1"/>
        <tr r="AG10" s="1"/>
        <tr r="AG19" s="1"/>
        <tr r="AG19" s="1"/>
        <tr r="AG13" s="1"/>
        <tr r="AG13" s="1"/>
        <tr r="AE26" s="1"/>
        <tr r="AE26" s="1"/>
        <tr r="AE18" s="1"/>
        <tr r="AE18" s="1"/>
        <tr r="AE11" s="1"/>
        <tr r="AE11" s="1"/>
        <tr r="AE14" s="1"/>
        <tr r="AE14" s="1"/>
        <tr r="AE12" s="1"/>
        <tr r="AE12" s="1"/>
        <tr r="AH10" s="1"/>
        <tr r="AH10" s="1"/>
        <tr r="AM26" s="1"/>
        <tr r="AM26" s="1"/>
        <tr r="AM11" s="1"/>
        <tr r="AM11" s="1"/>
        <tr r="AE17" s="1"/>
        <tr r="AE17" s="1"/>
        <tr r="AE19" s="1"/>
        <tr r="AE19" s="1"/>
        <tr r="AE10" s="1"/>
        <tr r="AE10" s="1"/>
        <tr r="AN29" s="1"/>
        <tr r="AN29" s="1"/>
        <tr r="AN11" s="1"/>
        <tr r="AN11" s="1"/>
        <tr r="AN6" s="1"/>
        <tr r="AN6" s="1"/>
        <tr r="AN20" s="1"/>
        <tr r="AN20" s="1"/>
        <tr r="E24" s="1"/>
        <tr r="E24" s="1"/>
        <tr r="E10" s="1"/>
        <tr r="E10" s="1"/>
        <tr r="E11" s="1"/>
        <tr r="E11" s="1"/>
        <tr r="AO13" s="1"/>
        <tr r="AO13" s="1"/>
        <tr r="AN18" s="1"/>
        <tr r="AN18" s="1"/>
        <tr r="AN21" s="1"/>
        <tr r="AN21" s="1"/>
        <tr r="AN7" s="1"/>
        <tr r="AN7" s="1"/>
        <tr r="F12" s="1"/>
        <tr r="F12" s="1"/>
        <tr r="G28" s="1"/>
        <tr r="G28" s="1"/>
        <tr r="G16" s="1"/>
        <tr r="G16" s="1"/>
        <tr r="AO26" s="1"/>
        <tr r="AO26" s="1"/>
        <tr r="D12" s="1"/>
        <tr r="D12" s="1"/>
        <tr r="D9" s="1"/>
        <tr r="D9" s="1"/>
        <tr r="AN23" s="1"/>
        <tr r="AN23" s="1"/>
        <tr r="J24" s="1"/>
        <tr r="J24" s="1"/>
        <tr r="J5" s="1"/>
        <tr r="J5" s="1"/>
        <tr r="J8" s="1"/>
        <tr r="J8" s="1"/>
        <tr r="G24" s="1"/>
        <tr r="G24" s="1"/>
        <tr r="G20" s="1"/>
        <tr r="G20" s="1"/>
        <tr r="G9" s="1"/>
        <tr r="G9" s="1"/>
        <tr r="G10" s="1"/>
        <tr r="G10" s="1"/>
        <tr r="F14" s="1"/>
        <tr r="F14" s="1"/>
        <tr r="H15" s="1"/>
        <tr r="H15" s="1"/>
        <tr r="H16" s="1"/>
        <tr r="H16" s="1"/>
        <tr r="AO10" s="1"/>
        <tr r="AO10" s="1"/>
        <tr r="E17" s="1"/>
        <tr r="E17" s="1"/>
        <tr r="E19" s="1"/>
        <tr r="E19" s="1"/>
        <tr r="E27" s="1"/>
        <tr r="E27" s="1"/>
        <tr r="E5" s="1"/>
        <tr r="E5" s="1"/>
        <tr r="E18" s="1"/>
        <tr r="E18" s="1"/>
        <tr r="E29" s="1"/>
        <tr r="E29" s="1"/>
        <tr r="E25" s="1"/>
        <tr r="E25" s="1"/>
        <tr r="J20" s="1"/>
        <tr r="J20" s="1"/>
        <tr r="G14" s="1"/>
        <tr r="G14" s="1"/>
        <tr r="AI5" s="1"/>
        <tr r="AI5" s="1"/>
        <tr r="AL27" s="1"/>
        <tr r="AL27" s="1"/>
        <tr r="AL18" s="1"/>
        <tr r="AL18" s="1"/>
        <tr r="AL14" s="1"/>
        <tr r="AL14" s="1"/>
        <tr r="AL10" s="1"/>
        <tr r="AL10" s="1"/>
        <tr r="AL9" s="1"/>
        <tr r="AL9" s="1"/>
        <tr r="AD26" s="1"/>
        <tr r="AD26" s="1"/>
        <tr r="AD15" s="1"/>
        <tr r="AD15" s="1"/>
        <tr r="AK6" s="1"/>
        <tr r="AK6" s="1"/>
        <tr r="AK18" s="1"/>
        <tr r="AK18" s="1"/>
        <tr r="AH7" s="1"/>
        <tr r="AH7" s="1"/>
        <tr r="AM6" s="1"/>
        <tr r="AM6" s="1"/>
        <tr r="AM9" s="1"/>
        <tr r="AM9" s="1"/>
        <tr r="AM17" s="1"/>
        <tr r="AM17" s="1"/>
        <tr r="AJ9" s="1"/>
        <tr r="AJ9" s="1"/>
        <tr r="AJ11" s="1"/>
        <tr r="AJ11" s="1"/>
        <tr r="AJ20" s="1"/>
        <tr r="AJ20" s="1"/>
        <tr r="AJ7" s="1"/>
        <tr r="AJ7" s="1"/>
        <tr r="AJ14" s="1"/>
        <tr r="AJ14" s="1"/>
        <tr r="AJ15" s="1"/>
        <tr r="AJ15" s="1"/>
        <tr r="AJ24" s="1"/>
        <tr r="AJ24" s="1"/>
        <tr r="AD16" s="1"/>
        <tr r="AD16" s="1"/>
        <tr r="AD21" s="1"/>
        <tr r="AD21" s="1"/>
        <tr r="AE23" s="1"/>
        <tr r="AE23" s="1"/>
        <tr r="AH26" s="1"/>
        <tr r="AH26" s="1"/>
        <tr r="AH9" s="1"/>
        <tr r="AH9" s="1"/>
        <tr r="AH24" s="1"/>
        <tr r="AH24" s="1"/>
        <tr r="AH19" s="1"/>
        <tr r="AH19" s="1"/>
        <tr r="AI11" s="1"/>
        <tr r="AI11" s="1"/>
        <tr r="AI9" s="1"/>
        <tr r="AI9" s="1"/>
        <tr r="AI16" s="1"/>
        <tr r="AI16" s="1"/>
        <tr r="AL23" s="1"/>
        <tr r="AL23" s="1"/>
        <tr r="AL22" s="1"/>
        <tr r="AL22" s="1"/>
        <tr r="AI18" s="1"/>
        <tr r="AI18" s="1"/>
        <tr r="AI27" s="1"/>
        <tr r="AI27" s="1"/>
        <tr r="AC25" s="1"/>
        <tr r="AC25" s="1"/>
        <tr r="AC10" s="1"/>
        <tr r="AC10" s="1"/>
        <tr r="AC20" s="1"/>
        <tr r="AC20" s="1"/>
        <tr r="AK19" s="1"/>
        <tr r="AK19" s="1"/>
        <tr r="AK20" s="1"/>
        <tr r="AK20" s="1"/>
        <tr r="AC16" s="1"/>
        <tr r="AC16" s="1"/>
        <tr r="AC5" s="1"/>
        <tr r="AC5" s="1"/>
        <tr r="AC17" s="1"/>
        <tr r="AC17" s="1"/>
        <tr r="AC14" s="1"/>
        <tr r="AC14" s="1"/>
        <tr r="AF27" s="1"/>
        <tr r="AF27" s="1"/>
        <tr r="AF13" s="1"/>
        <tr r="AF13" s="1"/>
        <tr r="AF14" s="1"/>
        <tr r="AF14" s="1"/>
        <tr r="AF11" s="1"/>
        <tr r="AF11" s="1"/>
        <tr r="AG6" s="1"/>
        <tr r="AG6" s="1"/>
        <tr r="AG9" s="1"/>
        <tr r="AG9" s="1"/>
        <tr r="AG15" s="1"/>
        <tr r="AG15" s="1"/>
        <tr r="AG17" s="1"/>
        <tr r="AG17" s="1"/>
        <tr r="AG11" s="1"/>
        <tr r="AG11" s="1"/>
        <tr r="AG14" s="1"/>
        <tr r="AG14" s="1"/>
        <tr r="AG22" s="1"/>
        <tr r="AG22" s="1"/>
        <tr r="AG8" s="1"/>
        <tr r="AG8" s="1"/>
        <tr r="AE21" s="1"/>
        <tr r="AE21" s="1"/>
        <tr r="AE27" s="1"/>
        <tr r="AE27" s="1"/>
        <tr r="AE9" s="1"/>
        <tr r="AE9" s="1"/>
        <tr r="AE13" s="1"/>
        <tr r="AE13" s="1"/>
        <tr r="AH11" s="1"/>
        <tr r="AH11" s="1"/>
        <tr r="AH23" s="1"/>
        <tr r="AH23" s="1"/>
        <tr r="AH18" s="1"/>
        <tr r="AH18" s="1"/>
        <tr r="AH21" s="1"/>
        <tr r="AH21" s="1"/>
        <tr r="AH25" s="1"/>
        <tr r="AH25" s="1"/>
        <tr r="AH16" s="1"/>
        <tr r="AH16" s="1"/>
        <tr r="AM29" s="1"/>
        <tr r="AM29" s="1"/>
        <tr r="AM28" s="1"/>
        <tr r="AM28" s="1"/>
        <tr r="AM8" s="1"/>
        <tr r="AM8" s="1"/>
        <tr r="AE25" s="1"/>
        <tr r="AE25" s="1"/>
        <tr r="AE29" s="1"/>
        <tr r="AE29" s="1"/>
        <tr r="AE20" s="1"/>
        <tr r="AE20" s="1"/>
        <tr r="AM23" s="1"/>
        <tr r="AM23" s="1"/>
        <tr r="AN24" s="1"/>
        <tr r="AN24" s="1"/>
        <tr r="AN25" s="1"/>
        <tr r="AN25" s="1"/>
        <tr r="D26" s="1"/>
        <tr r="D26" s="1"/>
        <tr r="D27" s="1"/>
        <tr r="D27" s="1"/>
        <tr r="E9" s="1"/>
        <tr r="E9" s="1"/>
        <tr r="AO29" s="1"/>
        <tr r="AO29" s="1"/>
        <tr r="AO19" s="1"/>
        <tr r="AO19" s="1"/>
        <tr r="AO14" s="1"/>
        <tr r="AO14" s="1"/>
        <tr r="F27" s="1"/>
        <tr r="F27" s="1"/>
        <tr r="F24" s="1"/>
        <tr r="F24" s="1"/>
        <tr r="AO22" s="1"/>
        <tr r="AO22" s="1"/>
        <tr r="AO18" s="1"/>
        <tr r="AO18" s="1"/>
        <tr r="AO15" s="1"/>
        <tr r="AO15" s="1"/>
        <tr r="D7" s="1"/>
        <tr r="D7" s="1"/>
        <tr r="D15" s="1"/>
        <tr r="D15" s="1"/>
        <tr r="D14" s="1"/>
        <tr r="D14" s="1"/>
        <tr r="AN9" s="1"/>
        <tr r="AN9" s="1"/>
        <tr r="AN19" s="1"/>
        <tr r="AN19" s="1"/>
        <tr r="J7" s="1"/>
        <tr r="J7" s="1"/>
        <tr r="J23" s="1"/>
        <tr r="J23" s="1"/>
        <tr r="J19" s="1"/>
        <tr r="J19" s="1"/>
        <tr r="J25" s="1"/>
        <tr r="J25" s="1"/>
        <tr r="G21" s="1"/>
        <tr r="G21" s="1"/>
        <tr r="G27" s="1"/>
        <tr r="G27" s="1"/>
        <tr r="G7" s="1"/>
        <tr r="G7" s="1"/>
        <tr r="F13" s="1"/>
        <tr r="F13" s="1"/>
        <tr r="H17" s="1"/>
        <tr r="H17" s="1"/>
        <tr r="AO16" s="1"/>
        <tr r="AO16" s="1"/>
        <tr r="AO6" s="1"/>
        <tr r="AO6" s="1"/>
        <tr r="AO21" s="1"/>
        <tr r="AO21" s="1"/>
        <tr r="E26" s="1"/>
        <tr r="E26" s="1"/>
        <tr r="E6" s="1"/>
        <tr r="E6" s="1"/>
        <tr r="E15" s="1"/>
        <tr r="E15" s="1"/>
        <tr r="E8" s="1"/>
        <tr r="E8" s="1"/>
        <tr r="E20" s="1"/>
        <tr r="E20" s="1"/>
        <tr r="J18" s="1"/>
        <tr r="J18" s="1"/>
        <tr r="J14" s="1"/>
        <tr r="J14" s="1"/>
        <tr r="G13" s="1"/>
        <tr r="G13" s="1"/>
        <tr r="AI21" s="1"/>
        <tr r="AI21" s="1"/>
        <tr r="AF8" s="1"/>
        <tr r="AF8" s="1"/>
        <tr r="AL20" s="1"/>
        <tr r="AL20" s="1"/>
        <tr r="AL29" s="1"/>
        <tr r="AL29" s="1"/>
        <tr r="AL19" s="1"/>
        <tr r="AL19" s="1"/>
        <tr r="AG7" s="1"/>
        <tr r="AG7" s="1"/>
        <tr r="AG18" s="1"/>
        <tr r="AG18" s="1"/>
        <tr r="AK9" s="1"/>
        <tr r="AK9" s="1"/>
        <tr r="AK8" s="1"/>
        <tr r="AK8" s="1"/>
        <tr r="AK14" s="1"/>
        <tr r="AK14" s="1"/>
        <tr r="AK28" s="1"/>
        <tr r="AK28" s="1"/>
        <tr r="AK23" s="1"/>
        <tr r="AK23" s="1"/>
        <tr r="AK21" s="1"/>
        <tr r="AK21" s="1"/>
        <tr r="AD20" s="1"/>
        <tr r="AD20" s="1"/>
        <tr r="AD28" s="1"/>
        <tr r="AD28" s="1"/>
        <tr r="AK24" s="1"/>
        <tr r="AK24" s="1"/>
        <tr r="AD11" s="1"/>
        <tr r="AD11" s="1"/>
        <tr r="AH22" s="1"/>
        <tr r="AH22" s="1"/>
        <tr r="AM19" s="1"/>
        <tr r="AM19" s="1"/>
        <tr r="AM10" s="1"/>
        <tr r="AM10" s="1"/>
        <tr r="AM22" s="1"/>
        <tr r="AM22" s="1"/>
        <tr r="AC18" s="1"/>
        <tr r="AC18" s="1"/>
        <tr r="AC19" s="1"/>
        <tr r="AC19" s="1"/>
        <tr r="AJ19" s="1"/>
        <tr r="AJ19" s="1"/>
        <tr r="AJ26" s="1"/>
        <tr r="AJ26" s="1"/>
        <tr r="AJ29" s="1"/>
        <tr r="AJ29" s="1"/>
        <tr r="AJ21" s="1"/>
        <tr r="AJ21" s="1"/>
        <tr r="AJ27" s="1"/>
        <tr r="AJ27" s="1"/>
        <tr r="AJ6" s="1"/>
        <tr r="AJ6" s="1"/>
        <tr r="AJ28" s="1"/>
        <tr r="AJ28" s="1"/>
        <tr r="AL6" s="1"/>
        <tr r="AL6" s="1"/>
        <tr r="AL17" s="1"/>
        <tr r="AL17" s="1"/>
        <tr r="AD7" s="1"/>
        <tr r="AD7" s="1"/>
        <tr r="AD22" s="1"/>
        <tr r="AD22" s="1"/>
        <tr r="AD13" s="1"/>
        <tr r="AD13" s="1"/>
        <tr r="AD6" s="1"/>
        <tr r="AD6" s="1"/>
        <tr r="AD19" s="1"/>
        <tr r="AD19" s="1"/>
        <tr r="AD24" s="1"/>
        <tr r="AD24" s="1"/>
        <tr r="AH5" s="1"/>
        <tr r="AH5" s="1"/>
        <tr r="AH17" s="1"/>
        <tr r="AH17" s="1"/>
        <tr r="AH15" s="1"/>
        <tr r="AH15" s="1"/>
        <tr r="AI6" s="1"/>
        <tr r="AI6" s="1"/>
        <tr r="AI12" s="1"/>
        <tr r="AI12" s="1"/>
        <tr r="AL15" s="1"/>
        <tr r="AL15" s="1"/>
        <tr r="AL24" s="1"/>
        <tr r="AL24" s="1"/>
        <tr r="AL8" s="1"/>
        <tr r="AL8" s="1"/>
        <tr r="AI29" s="1"/>
        <tr r="AI29" s="1"/>
        <tr r="AI28" s="1"/>
        <tr r="AI28" s="1"/>
        <tr r="AI10" s="1"/>
        <tr r="AI10" s="1"/>
        <tr r="AI17" s="1"/>
        <tr r="AI17" s="1"/>
        <tr r="AI13" s="1"/>
        <tr r="AI13" s="1"/>
        <tr r="AC11" s="1"/>
        <tr r="AC11" s="1"/>
        <tr r="AC15" s="1"/>
        <tr r="AC15" s="1"/>
        <tr r="AF5" s="1"/>
        <tr r="AF5" s="1"/>
        <tr r="AF16" s="1"/>
        <tr r="AF16" s="1"/>
        <tr r="AF18" s="1"/>
        <tr r="AF18" s="1"/>
        <tr r="AF29" s="1"/>
        <tr r="AF29" s="1"/>
        <tr r="AF26" s="1"/>
        <tr r="AF26" s="1"/>
        <tr r="AK17" s="1"/>
        <tr r="AK17" s="1"/>
        <tr r="AK15" s="1"/>
        <tr r="AK15" s="1"/>
        <tr r="AE6" s="1"/>
        <tr r="AE6" s="1"/>
        <tr r="AE7" s="1"/>
        <tr r="AE7" s="1"/>
        <tr r="AH27" s="1"/>
        <tr r="AH27" s="1"/>
        <tr r="AH14" s="1"/>
        <tr r="AH14" s="1"/>
        <tr r="AM12" s="1"/>
        <tr r="AM12" s="1"/>
        <tr r="AM13" s="1"/>
        <tr r="AM13" s="1"/>
        <tr r="AE22" s="1"/>
        <tr r="AE22" s="1"/>
        <tr r="AM25" s="1"/>
        <tr r="AM25" s="1"/>
        <tr r="AM20" s="1"/>
        <tr r="AM20" s="1"/>
        <tr r="AM24" s="1"/>
        <tr r="AM24" s="1"/>
        <tr r="D8" s="1"/>
        <tr r="D8" s="1"/>
        <tr r="AN13" s="1"/>
        <tr r="AN13" s="1"/>
        <tr r="F20" s="1"/>
        <tr r="F20" s="1"/>
        <tr r="F17" s="1"/>
        <tr r="F17" s="1"/>
        <tr r="F25" s="1"/>
        <tr r="F25" s="1"/>
        <tr r="F5" s="1"/>
        <tr r="F5" s="1"/>
        <tr r="G29" s="1"/>
        <tr r="G29" s="1"/>
        <tr r="H19" s="1"/>
        <tr r="H19" s="1"/>
        <tr r="H24" s="1"/>
        <tr r="H24" s="1"/>
        <tr r="AO12" s="1"/>
        <tr r="AO12" s="1"/>
        <tr r="AO23" s="1"/>
        <tr r="AO23" s="1"/>
        <tr r="D21" s="1"/>
        <tr r="D21" s="1"/>
        <tr r="D16" s="1"/>
        <tr r="D16" s="1"/>
        <tr r="D28" s="1"/>
        <tr r="D28" s="1"/>
        <tr r="D13" s="1"/>
        <tr r="D13" s="1"/>
        <tr r="AN16" s="1"/>
        <tr r="AN16" s="1"/>
        <tr r="AN28" s="1"/>
        <tr r="AN28" s="1"/>
        <tr r="AN15" s="1"/>
        <tr r="AN15" s="1"/>
        <tr r="AN17" s="1"/>
        <tr r="AN17" s="1"/>
        <tr r="G6" s="1"/>
        <tr r="G6" s="1"/>
        <tr r="G25" s="1"/>
        <tr r="G25" s="1"/>
        <tr r="F23" s="1"/>
        <tr r="F23" s="1"/>
        <tr r="F10" s="1"/>
        <tr r="F10" s="1"/>
        <tr r="F9" s="1"/>
        <tr r="F9" s="1"/>
        <tr r="H13" s="1"/>
        <tr r="H13" s="1"/>
        <tr r="H8" s="1"/>
        <tr r="H8" s="1"/>
        <tr r="H7" s="1"/>
        <tr r="H7" s="1"/>
        <tr r="AO7" s="1"/>
        <tr r="AO7" s="1"/>
        <tr r="AO17" s="1"/>
        <tr r="AO17" s="1"/>
        <tr r="E22" s="1"/>
        <tr r="E22" s="1"/>
        <tr r="E12" s="1"/>
        <tr r="E12" s="1"/>
        <tr r="E16" s="1"/>
        <tr r="E16" s="1"/>
        <tr r="E21" s="1"/>
        <tr r="E21" s="1"/>
        <tr r="I8" s="1"/>
        <tr r="I8" s="1"/>
        <tr r="I11" s="1"/>
        <tr r="I11" s="1"/>
        <tr r="K7" s="1"/>
        <tr r="K7" s="1"/>
        <tr r="K24" s="1"/>
        <tr r="K24" s="1"/>
        <tr r="K10" s="1"/>
        <tr r="K10" s="1"/>
        <tr r="K22" s="1"/>
        <tr r="K22" s="1"/>
        <tr r="D10" s="1"/>
        <tr r="D10" s="1"/>
        <tr r="D20" s="1"/>
        <tr r="D20" s="1"/>
        <tr r="D6" s="1"/>
        <tr r="D6" s="1"/>
        <tr r="D24" s="1"/>
        <tr r="D24" s="1"/>
        <tr r="K19" s="1"/>
        <tr r="K19" s="1"/>
        <tr r="G19" s="1"/>
        <tr r="G19" s="1"/>
        <tr r="G26" s="1"/>
        <tr r="G26" s="1"/>
        <tr r="G15" s="1"/>
        <tr r="G15" s="1"/>
        <tr r="G18" s="1"/>
        <tr r="G18" s="1"/>
        <tr r="G22" s="1"/>
        <tr r="G22" s="1"/>
        <tr r="G5" s="1"/>
        <tr r="G5" s="1"/>
        <tr r="G8" s="1"/>
        <tr r="G8" s="1"/>
        <tr r="F28" s="1"/>
        <tr r="F28" s="1"/>
        <tr r="F16" s="1"/>
        <tr r="F16" s="1"/>
        <tr r="F19" s="1"/>
        <tr r="F19" s="1"/>
        <tr r="F29" s="1"/>
        <tr r="F29" s="1"/>
        <tr r="F22" s="1"/>
        <tr r="F22" s="1"/>
        <tr r="F21" s="1"/>
        <tr r="F21" s="1"/>
        <tr r="F15" s="1"/>
        <tr r="F15" s="1"/>
        <tr r="F6" s="1"/>
        <tr r="F6" s="1"/>
        <tr r="F26" s="1"/>
        <tr r="F26" s="1"/>
        <tr r="F11" s="1"/>
        <tr r="F11" s="1"/>
        <tr r="I15" s="1"/>
        <tr r="I15" s="1"/>
        <tr r="I13" s="1"/>
        <tr r="I13" s="1"/>
        <tr r="I14" s="1"/>
        <tr r="I14" s="1"/>
        <tr r="I22" s="1"/>
        <tr r="I22" s="1"/>
        <tr r="I29" s="1"/>
        <tr r="I29" s="1"/>
        <tr r="I7" s="1"/>
        <tr r="I7" s="1"/>
        <tr r="I21" s="1"/>
        <tr r="I21" s="1"/>
        <tr r="I9" s="1"/>
        <tr r="I9" s="1"/>
        <tr r="I19" s="1"/>
        <tr r="I19" s="1"/>
        <tr r="I26" s="1"/>
        <tr r="I26" s="1"/>
        <tr r="I5" s="1"/>
        <tr r="I5" s="1"/>
        <tr r="J28" s="1"/>
        <tr r="J28" s="1"/>
        <tr r="J6" s="1"/>
        <tr r="J6" s="1"/>
        <tr r="J26" s="1"/>
        <tr r="J26" s="1"/>
        <tr r="J9" s="1"/>
        <tr r="J9" s="1"/>
        <tr r="J10" s="1"/>
        <tr r="J10" s="1"/>
        <tr r="J22" s="1"/>
        <tr r="J22" s="1"/>
        <tr r="J27" s="1"/>
        <tr r="J27" s="1"/>
        <tr r="J17" s="1"/>
        <tr r="J17" s="1"/>
        <tr r="J15" s="1"/>
        <tr r="J15" s="1"/>
        <tr r="J16" s="1"/>
        <tr r="J16" s="1"/>
        <tr r="H5" s="1"/>
        <tr r="H5" s="1"/>
        <tr r="H12" s="1"/>
        <tr r="H12" s="1"/>
        <tr r="H10" s="1"/>
        <tr r="H10" s="1"/>
        <tr r="H29" s="1"/>
        <tr r="H29" s="1"/>
        <tr r="H21" s="1"/>
        <tr r="H21" s="1"/>
        <tr r="H9" s="1"/>
        <tr r="H9" s="1"/>
        <tr r="H18" s="1"/>
        <tr r="H18" s="1"/>
        <tr r="H27" s="1"/>
        <tr r="H27" s="1"/>
        <tr r="H20" s="1"/>
        <tr r="H20" s="1"/>
        <tr r="H23" s="1"/>
        <tr r="H23" s="1"/>
        <tr r="I16" s="1"/>
        <tr r="I16" s="1"/>
        <tr r="I27" s="1"/>
        <tr r="I27" s="1"/>
        <tr r="I25" s="1"/>
        <tr r="I25" s="1"/>
        <tr r="I28" s="1"/>
        <tr r="I28" s="1"/>
        <tr r="I24" s="1"/>
        <tr r="I24" s="1"/>
        <tr r="I20" s="1"/>
        <tr r="I20" s="1"/>
        <tr r="I23" s="1"/>
        <tr r="I23" s="1"/>
        <tr r="I17" s="1"/>
        <tr r="I17" s="1"/>
        <tr r="I12" s="1"/>
        <tr r="I12" s="1"/>
        <tr r="I6" s="1"/>
        <tr r="I6" s="1"/>
        <tr r="L17" s="1"/>
        <tr r="L17" s="1"/>
        <tr r="L5" s="1"/>
        <tr r="L5" s="1"/>
        <tr r="L24" s="1"/>
        <tr r="L24" s="1"/>
        <tr r="L25" s="1"/>
        <tr r="L25" s="1"/>
        <tr r="K12" s="1"/>
        <tr r="K12" s="1"/>
        <tr r="K5" s="1"/>
        <tr r="K5" s="1"/>
        <tr r="K26" s="1"/>
        <tr r="K26" s="1"/>
        <tr r="K6" s="1"/>
        <tr r="K6" s="1"/>
        <tr r="K18" s="1"/>
        <tr r="K18" s="1"/>
        <tr r="K28" s="1"/>
        <tr r="K28" s="1"/>
        <tr r="K20" s="1"/>
        <tr r="K20" s="1"/>
        <tr r="K29" s="1"/>
        <tr r="K29" s="1"/>
        <tr r="K27" s="1"/>
        <tr r="K27" s="1"/>
        <tr r="K8" s="1"/>
        <tr r="K8" s="1"/>
        <tr r="L26" s="1"/>
        <tr r="L26" s="1"/>
        <tr r="L13" s="1"/>
        <tr r="L13" s="1"/>
        <tr r="L14" s="1"/>
        <tr r="L14" s="1"/>
        <tr r="L7" s="1"/>
        <tr r="L7" s="1"/>
        <tr r="L23" s="1"/>
        <tr r="L23" s="1"/>
        <tr r="L9" s="1"/>
        <tr r="L9" s="1"/>
        <tr r="L29" s="1"/>
        <tr r="L29" s="1"/>
        <tr r="L19" s="1"/>
        <tr r="L19" s="1"/>
        <tr r="L11" s="1"/>
        <tr r="L11" s="1"/>
        <tr r="L18" s="1"/>
        <tr r="L18" s="1"/>
        <tr r="L21" s="1"/>
        <tr r="L21" s="1"/>
        <tr r="O16" s="1"/>
        <tr r="O16" s="1"/>
        <tr r="O12" s="1"/>
        <tr r="O12" s="1"/>
        <tr r="O24" s="1"/>
        <tr r="O24" s="1"/>
        <tr r="O11" s="1"/>
        <tr r="O11" s="1"/>
        <tr r="M13" s="1"/>
        <tr r="M13" s="1"/>
        <tr r="M14" s="1"/>
        <tr r="M14" s="1"/>
        <tr r="M17" s="1"/>
        <tr r="M17" s="1"/>
        <tr r="M24" s="1"/>
        <tr r="M24" s="1"/>
        <tr r="M9" s="1"/>
        <tr r="M9" s="1"/>
        <tr r="L8" s="1"/>
        <tr r="L8" s="1"/>
        <tr r="L15" s="1"/>
        <tr r="L15" s="1"/>
        <tr r="L10" s="1"/>
        <tr r="L10" s="1"/>
        <tr r="L27" s="1"/>
        <tr r="L27" s="1"/>
        <tr r="L16" s="1"/>
        <tr r="L16" s="1"/>
        <tr r="L22" s="1"/>
        <tr r="L22" s="1"/>
        <tr r="L12" s="1"/>
        <tr r="L12" s="1"/>
        <tr r="L20" s="1"/>
        <tr r="L20" s="1"/>
        <tr r="L6" s="1"/>
        <tr r="L6" s="1"/>
        <tr r="L28" s="1"/>
        <tr r="L28" s="1"/>
        <tr r="M22" s="1"/>
        <tr r="M22" s="1"/>
        <tr r="M29" s="1"/>
        <tr r="M29" s="1"/>
        <tr r="M18" s="1"/>
        <tr r="M18" s="1"/>
        <tr r="M28" s="1"/>
        <tr r="M28" s="1"/>
        <tr r="M26" s="1"/>
        <tr r="M26" s="1"/>
        <tr r="M10" s="1"/>
        <tr r="M10" s="1"/>
        <tr r="M20" s="1"/>
        <tr r="M20" s="1"/>
        <tr r="M15" s="1"/>
        <tr r="M15" s="1"/>
        <tr r="M19" s="1"/>
        <tr r="M19" s="1"/>
        <tr r="M23" s="1"/>
        <tr r="M23" s="1"/>
        <tr r="M21" s="1"/>
        <tr r="M21" s="1"/>
        <tr r="M25" s="1"/>
        <tr r="M25" s="1"/>
        <tr r="M27" s="1"/>
        <tr r="M27" s="1"/>
        <tr r="M6" s="1"/>
        <tr r="M6" s="1"/>
        <tr r="M8" s="1"/>
        <tr r="M8" s="1"/>
        <tr r="M11" s="1"/>
        <tr r="M11" s="1"/>
        <tr r="M12" s="1"/>
        <tr r="M12" s="1"/>
        <tr r="M5" s="1"/>
        <tr r="M5" s="1"/>
        <tr r="M7" s="1"/>
        <tr r="M7" s="1"/>
        <tr r="M16" s="1"/>
        <tr r="M16" s="1"/>
        <tr r="R23" s="1"/>
        <tr r="R23" s="1"/>
        <tr r="R22" s="1"/>
        <tr r="R22" s="1"/>
        <tr r="R25" s="1"/>
        <tr r="R25" s="1"/>
        <tr r="R17" s="1"/>
        <tr r="R17" s="1"/>
        <tr r="N9" s="1"/>
        <tr r="N9" s="1"/>
        <tr r="N15" s="1"/>
        <tr r="N15" s="1"/>
        <tr r="N10" s="1"/>
        <tr r="N10" s="1"/>
        <tr r="N29" s="1"/>
        <tr r="N29" s="1"/>
        <tr r="N20" s="1"/>
        <tr r="N20" s="1"/>
        <tr r="N6" s="1"/>
        <tr r="N6" s="1"/>
        <tr r="N18" s="1"/>
        <tr r="N18" s="1"/>
        <tr r="N11" s="1"/>
        <tr r="N11" s="1"/>
        <tr r="N22" s="1"/>
        <tr r="N22" s="1"/>
        <tr r="N17" s="1"/>
        <tr r="N17" s="1"/>
        <tr r="N8" s="1"/>
        <tr r="N8" s="1"/>
        <tr r="N24" s="1"/>
        <tr r="N24" s="1"/>
        <tr r="N19" s="1"/>
        <tr r="N19" s="1"/>
        <tr r="N26" s="1"/>
        <tr r="N26" s="1"/>
        <tr r="P29" s="1"/>
        <tr r="P29" s="1"/>
        <tr r="P23" s="1"/>
        <tr r="P23" s="1"/>
        <tr r="P28" s="1"/>
        <tr r="P28" s="1"/>
        <tr r="P19" s="1"/>
        <tr r="P19" s="1"/>
        <tr r="P24" s="1"/>
        <tr r="P24" s="1"/>
        <tr r="P13" s="1"/>
        <tr r="P13" s="1"/>
        <tr r="P14" s="1"/>
        <tr r="P14" s="1"/>
        <tr r="P6" s="1"/>
        <tr r="P6" s="1"/>
        <tr r="P17" s="1"/>
        <tr r="P17" s="1"/>
        <tr r="P18" s="1"/>
        <tr r="P18" s="1"/>
        <tr r="P27" s="1"/>
        <tr r="P27" s="1"/>
        <tr r="P12" s="1"/>
        <tr r="P12" s="1"/>
        <tr r="P7" s="1"/>
        <tr r="P7" s="1"/>
        <tr r="P9" s="1"/>
        <tr r="P9" s="1"/>
        <tr r="P25" s="1"/>
        <tr r="P25" s="1"/>
        <tr r="Q8" s="1"/>
        <tr r="Q8" s="1"/>
        <tr r="Q15" s="1"/>
        <tr r="Q15" s="1"/>
        <tr r="Q20" s="1"/>
        <tr r="Q20" s="1"/>
        <tr r="Q16" s="1"/>
        <tr r="Q16" s="1"/>
        <tr r="T26" s="1"/>
        <tr r="T26" s="1"/>
        <tr r="T9" s="1"/>
        <tr r="T9" s="1"/>
        <tr r="T20" s="1"/>
        <tr r="T20" s="1"/>
        <tr r="T5" s="1"/>
        <tr r="T5" s="1"/>
        <tr r="T16" s="1"/>
        <tr r="T16" s="1"/>
        <tr r="T15" s="1"/>
        <tr r="T15" s="1"/>
        <tr r="T25" s="1"/>
        <tr r="T25" s="1"/>
        <tr r="T13" s="1"/>
        <tr r="T13" s="1"/>
        <tr r="T14" s="1"/>
        <tr r="T14" s="1"/>
        <tr r="T21" s="1"/>
        <tr r="T21" s="1"/>
        <tr r="T11" s="1"/>
        <tr r="T11" s="1"/>
        <tr r="N21" s="1"/>
        <tr r="N21" s="1"/>
        <tr r="N13" s="1"/>
        <tr r="N13" s="1"/>
        <tr r="N14" s="1"/>
        <tr r="N14" s="1"/>
        <tr r="N27" s="1"/>
        <tr r="N27" s="1"/>
        <tr r="N28" s="1"/>
        <tr r="N28" s="1"/>
        <tr r="N23" s="1"/>
        <tr r="N23" s="1"/>
        <tr r="N12" s="1"/>
        <tr r="N12" s="1"/>
        <tr r="N25" s="1"/>
        <tr r="N25" s="1"/>
        <tr r="N5" s="1"/>
        <tr r="N5" s="1"/>
        <tr r="N7" s="1"/>
        <tr r="N7" s="1"/>
        <tr r="N16" s="1"/>
        <tr r="N16" s="1"/>
        <tr r="O18" s="1"/>
        <tr r="O18" s="1"/>
        <tr r="O15" s="1"/>
        <tr r="O15" s="1"/>
        <tr r="O22" s="1"/>
        <tr r="O22" s="1"/>
        <tr r="O9" s="1"/>
        <tr r="O9" s="1"/>
        <tr r="O5" s="1"/>
        <tr r="O5" s="1"/>
        <tr r="O25" s="1"/>
        <tr r="O25" s="1"/>
        <tr r="O28" s="1"/>
        <tr r="O28" s="1"/>
        <tr r="O10" s="1"/>
        <tr r="O10" s="1"/>
        <tr r="O23" s="1"/>
        <tr r="O23" s="1"/>
        <tr r="O6" s="1"/>
        <tr r="O6" s="1"/>
        <tr r="S23" s="1"/>
        <tr r="S23" s="1"/>
        <tr r="S11" s="1"/>
        <tr r="S11" s="1"/>
        <tr r="S19" s="1"/>
        <tr r="S19" s="1"/>
        <tr r="S27" s="1"/>
        <tr r="S27" s="1"/>
        <tr r="P5" s="1"/>
        <tr r="P5" s="1"/>
        <tr r="P16" s="1"/>
        <tr r="P16" s="1"/>
        <tr r="P20" s="1"/>
        <tr r="P20" s="1"/>
        <tr r="P26" s="1"/>
        <tr r="P26" s="1"/>
        <tr r="P8" s="1"/>
        <tr r="P8" s="1"/>
        <tr r="P21" s="1"/>
        <tr r="P21" s="1"/>
        <tr r="P11" s="1"/>
        <tr r="P11" s="1"/>
        <tr r="P15" s="1"/>
        <tr r="P15" s="1"/>
        <tr r="P22" s="1"/>
        <tr r="P22" s="1"/>
        <tr r="P10" s="1"/>
        <tr r="P10" s="1"/>
        <tr r="R9" s="1"/>
        <tr r="R9" s="1"/>
        <tr r="R27" s="1"/>
        <tr r="R27" s="1"/>
        <tr r="R16" s="1"/>
        <tr r="R16" s="1"/>
        <tr r="R26" s="1"/>
        <tr r="R26" s="1"/>
        <tr r="R11" s="1"/>
        <tr r="R11" s="1"/>
        <tr r="R12" s="1"/>
        <tr r="R12" s="1"/>
        <tr r="R6" s="1"/>
        <tr r="R6" s="1"/>
        <tr r="R10" s="1"/>
        <tr r="R10" s="1"/>
        <tr r="R7" s="1"/>
        <tr r="R7" s="1"/>
        <tr r="R5" s="1"/>
        <tr r="R5" s="1"/>
        <tr r="Q27" s="1"/>
        <tr r="Q27" s="1"/>
        <tr r="Q6" s="1"/>
        <tr r="Q6" s="1"/>
        <tr r="Q17" s="1"/>
        <tr r="Q17" s="1"/>
        <tr r="Q5" s="1"/>
        <tr r="Q5" s="1"/>
        <tr r="Q10" s="1"/>
        <tr r="Q10" s="1"/>
        <tr r="Q29" s="1"/>
        <tr r="Q29" s="1"/>
        <tr r="Q9" s="1"/>
        <tr r="Q9" s="1"/>
        <tr r="Q25" s="1"/>
        <tr r="Q25" s="1"/>
        <tr r="Q18" s="1"/>
        <tr r="Q18" s="1"/>
        <tr r="Q11" s="1"/>
        <tr r="Q11" s="1"/>
        <tr r="V25" s="1"/>
        <tr r="V25" s="1"/>
        <tr r="V7" s="1"/>
        <tr r="V7" s="1"/>
        <tr r="V23" s="1"/>
        <tr r="V23" s="1"/>
        <tr r="V16" s="1"/>
        <tr r="V16" s="1"/>
        <tr r="O17" s="1"/>
        <tr r="O17" s="1"/>
        <tr r="O29" s="1"/>
        <tr r="O29" s="1"/>
        <tr r="O27" s="1"/>
        <tr r="O27" s="1"/>
        <tr r="O20" s="1"/>
        <tr r="O20" s="1"/>
        <tr r="O8" s="1"/>
        <tr r="O8" s="1"/>
        <tr r="O21" s="1"/>
        <tr r="O21" s="1"/>
        <tr r="O26" s="1"/>
        <tr r="O26" s="1"/>
        <tr r="O13" s="1"/>
        <tr r="O13" s="1"/>
        <tr r="O14" s="1"/>
        <tr r="O14" s="1"/>
        <tr r="O7" s="1"/>
        <tr r="O7" s="1"/>
        <tr r="O19" s="1"/>
        <tr r="O19" s="1"/>
        <tr r="U27" s="1"/>
        <tr r="U27" s="1"/>
        <tr r="U10" s="1"/>
        <tr r="U10" s="1"/>
        <tr r="U25" s="1"/>
        <tr r="U25" s="1"/>
        <tr r="U8" s="1"/>
        <tr r="U8" s="1"/>
        <tr r="U17" s="1"/>
        <tr r="U17" s="1"/>
        <tr r="U29" s="1"/>
        <tr r="U29" s="1"/>
        <tr r="U16" s="1"/>
        <tr r="U16" s="1"/>
        <tr r="U19" s="1"/>
        <tr r="U19" s="1"/>
        <tr r="U18" s="1"/>
        <tr r="U18" s="1"/>
        <tr r="U6" s="1"/>
        <tr r="U6" s="1"/>
        <tr r="T23" s="1"/>
        <tr r="T23" s="1"/>
        <tr r="T12" s="1"/>
        <tr r="T12" s="1"/>
        <tr r="T17" s="1"/>
        <tr r="T17" s="1"/>
        <tr r="T6" s="1"/>
        <tr r="T6" s="1"/>
        <tr r="Q12" s="1"/>
        <tr r="Q12" s="1"/>
        <tr r="Q24" s="1"/>
        <tr r="Q24" s="1"/>
        <tr r="Q13" s="1"/>
        <tr r="Q13" s="1"/>
        <tr r="Q14" s="1"/>
        <tr r="Q14" s="1"/>
        <tr r="Q19" s="1"/>
        <tr r="Q19" s="1"/>
        <tr r="Q21" s="1"/>
        <tr r="Q21" s="1"/>
        <tr r="Q26" s="1"/>
        <tr r="Q26" s="1"/>
        <tr r="Q22" s="1"/>
        <tr r="Q22" s="1"/>
        <tr r="Q23" s="1"/>
        <tr r="Q23" s="1"/>
        <tr r="Q7" s="1"/>
        <tr r="Q7" s="1"/>
        <tr r="Q28" s="1"/>
        <tr r="Q28" s="1"/>
        <tr r="S17" s="1"/>
        <tr r="S17" s="1"/>
        <tr r="S21" s="1"/>
        <tr r="S21" s="1"/>
        <tr r="S6" s="1"/>
        <tr r="S6" s="1"/>
        <tr r="S5" s="1"/>
        <tr r="S5" s="1"/>
        <tr r="S25" s="1"/>
        <tr r="S25" s="1"/>
        <tr r="S16" s="1"/>
        <tr r="S16" s="1"/>
        <tr r="S18" s="1"/>
        <tr r="S18" s="1"/>
        <tr r="S8" s="1"/>
        <tr r="S8" s="1"/>
        <tr r="S10" s="1"/>
        <tr r="S10" s="1"/>
        <tr r="S20" s="1"/>
        <tr r="S20" s="1"/>
        <tr r="U9" s="1"/>
        <tr r="U9" s="1"/>
        <tr r="U26" s="1"/>
        <tr r="U26" s="1"/>
        <tr r="U15" s="1"/>
        <tr r="U15" s="1"/>
        <tr r="U5" s="1"/>
        <tr r="U5" s="1"/>
        <tr r="S12" s="1"/>
        <tr r="S12" s="1"/>
        <tr r="S26" s="1"/>
        <tr r="S26" s="1"/>
        <tr r="S13" s="1"/>
        <tr r="S13" s="1"/>
        <tr r="S14" s="1"/>
        <tr r="S14" s="1"/>
        <tr r="S9" s="1"/>
        <tr r="S9" s="1"/>
        <tr r="S29" s="1"/>
        <tr r="S29" s="1"/>
        <tr r="S15" s="1"/>
        <tr r="S15" s="1"/>
        <tr r="S24" s="1"/>
        <tr r="S24" s="1"/>
        <tr r="S22" s="1"/>
        <tr r="S22" s="1"/>
        <tr r="S7" s="1"/>
        <tr r="S7" s="1"/>
        <tr r="S28" s="1"/>
        <tr r="S28" s="1"/>
        <tr r="R21" s="1"/>
        <tr r="R21" s="1"/>
        <tr r="R13" s="1"/>
        <tr r="R13" s="1"/>
        <tr r="R14" s="1"/>
        <tr r="R14" s="1"/>
        <tr r="R29" s="1"/>
        <tr r="R29" s="1"/>
        <tr r="R15" s="1"/>
        <tr r="R15" s="1"/>
        <tr r="R8" s="1"/>
        <tr r="R8" s="1"/>
        <tr r="R19" s="1"/>
        <tr r="R19" s="1"/>
        <tr r="R18" s="1"/>
        <tr r="R18" s="1"/>
        <tr r="R28" s="1"/>
        <tr r="R28" s="1"/>
        <tr r="R20" s="1"/>
        <tr r="R20" s="1"/>
        <tr r="R24" s="1"/>
        <tr r="R24" s="1"/>
        <tr r="W8" s="1"/>
        <tr r="W8" s="1"/>
        <tr r="W16" s="1"/>
        <tr r="W16" s="1"/>
        <tr r="W15" s="1"/>
        <tr r="W15" s="1"/>
        <tr r="W9" s="1"/>
        <tr r="W9" s="1"/>
        <tr r="W21" s="1"/>
        <tr r="W21" s="1"/>
        <tr r="W10" s="1"/>
        <tr r="W10" s="1"/>
        <tr r="W26" s="1"/>
        <tr r="W26" s="1"/>
        <tr r="W28" s="1"/>
        <tr r="W28" s="1"/>
        <tr r="W29" s="1"/>
        <tr r="W29" s="1"/>
        <tr r="W23" s="1"/>
        <tr r="W23" s="1"/>
        <tr r="T29" s="1"/>
        <tr r="T29" s="1"/>
        <tr r="T10" s="1"/>
        <tr r="T10" s="1"/>
        <tr r="T27" s="1"/>
        <tr r="T27" s="1"/>
        <tr r="T22" s="1"/>
        <tr r="T22" s="1"/>
        <tr r="T18" s="1"/>
        <tr r="T18" s="1"/>
        <tr r="T19" s="1"/>
        <tr r="T19" s="1"/>
        <tr r="T28" s="1"/>
        <tr r="T28" s="1"/>
        <tr r="T24" s="1"/>
        <tr r="T24" s="1"/>
        <tr r="T8" s="1"/>
        <tr r="T8" s="1"/>
        <tr r="T7" s="1"/>
        <tr r="T7" s="1"/>
        <tr r="W22" s="1"/>
        <tr r="W22" s="1"/>
        <tr r="W20" s="1"/>
        <tr r="W20" s="1"/>
        <tr r="W13" s="1"/>
        <tr r="W13" s="1"/>
        <tr r="W14" s="1"/>
        <tr r="W14" s="1"/>
        <tr r="W17" s="1"/>
        <tr r="W17" s="1"/>
        <tr r="V8" s="1"/>
        <tr r="V8" s="1"/>
        <tr r="V27" s="1"/>
        <tr r="V27" s="1"/>
        <tr r="V28" s="1"/>
        <tr r="V28" s="1"/>
        <tr r="V29" s="1"/>
        <tr r="V29" s="1"/>
        <tr r="V12" s="1"/>
        <tr r="V12" s="1"/>
        <tr r="V17" s="1"/>
        <tr r="V17" s="1"/>
        <tr r="V21" s="1"/>
        <tr r="V21" s="1"/>
        <tr r="V15" s="1"/>
        <tr r="V15" s="1"/>
        <tr r="V22" s="1"/>
        <tr r="V22" s="1"/>
        <tr r="V24" s="1"/>
        <tr r="V24" s="1"/>
        <tr r="V5" s="1"/>
        <tr r="V5" s="1"/>
        <tr r="V18" s="1"/>
        <tr r="V18" s="1"/>
        <tr r="V26" s="1"/>
        <tr r="V26" s="1"/>
        <tr r="V20" s="1"/>
        <tr r="V20" s="1"/>
        <tr r="V6" s="1"/>
        <tr r="V6" s="1"/>
        <tr r="V13" s="1"/>
        <tr r="V13" s="1"/>
        <tr r="V14" s="1"/>
        <tr r="V14" s="1"/>
        <tr r="V9" s="1"/>
        <tr r="V9" s="1"/>
        <tr r="V11" s="1"/>
        <tr r="V11" s="1"/>
        <tr r="V19" s="1"/>
        <tr r="V19" s="1"/>
        <tr r="V10" s="1"/>
        <tr r="V10" s="1"/>
        <tr r="U13" s="1"/>
        <tr r="U13" s="1"/>
        <tr r="U14" s="1"/>
        <tr r="U14" s="1"/>
        <tr r="U20" s="1"/>
        <tr r="U20" s="1"/>
        <tr r="U22" s="1"/>
        <tr r="U22" s="1"/>
        <tr r="U21" s="1"/>
        <tr r="U21" s="1"/>
        <tr r="U28" s="1"/>
        <tr r="U28" s="1"/>
        <tr r="U11" s="1"/>
        <tr r="U11" s="1"/>
        <tr r="U24" s="1"/>
        <tr r="U24" s="1"/>
        <tr r="U12" s="1"/>
        <tr r="U12" s="1"/>
        <tr r="U23" s="1"/>
        <tr r="U23" s="1"/>
        <tr r="U7" s="1"/>
        <tr r="U7" s="1"/>
        <tr r="W7" s="1"/>
        <tr r="W7" s="1"/>
        <tr r="W5" s="1"/>
        <tr r="W5" s="1"/>
        <tr r="W24" s="1"/>
        <tr r="W24" s="1"/>
        <tr r="W12" s="1"/>
        <tr r="W12" s="1"/>
        <tr r="W19" s="1"/>
        <tr r="W19" s="1"/>
        <tr r="W18" s="1"/>
        <tr r="W18" s="1"/>
        <tr r="W27" s="1"/>
        <tr r="W27" s="1"/>
        <tr r="W25" s="1"/>
        <tr r="W25" s="1"/>
        <tr r="W11" s="1"/>
        <tr r="W11" s="1"/>
        <tr r="W6" s="1"/>
        <tr r="W6" s="1"/>
        <tr r="AB17" s="1"/>
        <tr r="AB17" s="1"/>
        <tr r="AB8" s="1"/>
        <tr r="AB8" s="1"/>
        <tr r="AB23" s="1"/>
        <tr r="AB23" s="1"/>
        <tr r="AB26" s="1"/>
        <tr r="AB26" s="1"/>
        <tr r="AB5" s="1"/>
        <tr r="AB5" s="1"/>
        <tr r="AB18" s="1"/>
        <tr r="AB18" s="1"/>
        <tr r="AB29" s="1"/>
        <tr r="AB29" s="1"/>
        <tr r="AB22" s="1"/>
        <tr r="AB22" s="1"/>
        <tr r="AB25" s="1"/>
        <tr r="AB25" s="1"/>
        <tr r="AB24" s="1"/>
        <tr r="AB24" s="1"/>
        <tr r="Z27" s="1"/>
        <tr r="Z27" s="1"/>
        <tr r="Z26" s="1"/>
        <tr r="Z26" s="1"/>
        <tr r="Z19" s="1"/>
        <tr r="Z19" s="1"/>
        <tr r="Z8" s="1"/>
        <tr r="Z8" s="1"/>
        <tr r="Z22" s="1"/>
        <tr r="Z22" s="1"/>
        <tr r="Z16" s="1"/>
        <tr r="Z16" s="1"/>
        <tr r="Z29" s="1"/>
        <tr r="Z29" s="1"/>
        <tr r="Z13" s="1"/>
        <tr r="Z13" s="1"/>
        <tr r="Z14" s="1"/>
        <tr r="Z14" s="1"/>
        <tr r="Z6" s="1"/>
        <tr r="Z6" s="1"/>
        <tr r="Z7" s="1"/>
        <tr r="Z7" s="1"/>
        <tr r="Z18" s="1"/>
        <tr r="Z18" s="1"/>
        <tr r="Z20" s="1"/>
        <tr r="Z20" s="1"/>
        <tr r="Z10" s="1"/>
        <tr r="Z10" s="1"/>
        <tr r="Z25" s="1"/>
        <tr r="Z25" s="1"/>
        <tr r="Y25" s="1"/>
        <tr r="Y25" s="1"/>
        <tr r="Y23" s="1"/>
        <tr r="Y23" s="1"/>
        <tr r="Y21" s="1"/>
        <tr r="Y21" s="1"/>
        <tr r="Y20" s="1"/>
        <tr r="Y20" s="1"/>
        <tr r="Y27" s="1"/>
        <tr r="Y27" s="1"/>
        <tr r="Y11" s="1"/>
        <tr r="Y11" s="1"/>
        <tr r="Y28" s="1"/>
        <tr r="Y28" s="1"/>
        <tr r="Y22" s="1"/>
        <tr r="Y22" s="1"/>
        <tr r="Y29" s="1"/>
        <tr r="Y29" s="1"/>
        <tr r="Y16" s="1"/>
        <tr r="Y16" s="1"/>
        <tr r="AA22" s="1"/>
        <tr r="AA22" s="1"/>
        <tr r="AA28" s="1"/>
        <tr r="AA28" s="1"/>
        <tr r="AA25" s="1"/>
        <tr r="AA25" s="1"/>
        <tr r="AA15" s="1"/>
        <tr r="AA15" s="1"/>
        <tr r="AA29" s="1"/>
        <tr r="AA29" s="1"/>
        <tr r="AA17" s="1"/>
        <tr r="AA17" s="1"/>
        <tr r="AA7" s="1"/>
        <tr r="AA7" s="1"/>
        <tr r="AA20" s="1"/>
        <tr r="AA20" s="1"/>
        <tr r="AA18" s="1"/>
        <tr r="AA18" s="1"/>
        <tr r="AA10" s="1"/>
        <tr r="AA10" s="1"/>
        <tr r="X15" s="1"/>
        <tr r="X15" s="1"/>
        <tr r="X13" s="1"/>
        <tr r="X13" s="1"/>
        <tr r="X14" s="1"/>
        <tr r="X14" s="1"/>
        <tr r="AB27" s="1"/>
        <tr r="AB27" s="1"/>
        <tr r="X8" s="1"/>
        <tr r="X8" s="1"/>
        <tr r="X18" s="1"/>
        <tr r="X18" s="1"/>
        <tr r="AB12" s="1"/>
        <tr r="AB12" s="1"/>
        <tr r="AB6" s="1"/>
        <tr r="AB6" s="1"/>
        <tr r="AB16" s="1"/>
        <tr r="AB16" s="1"/>
        <tr r="Y15" s="1"/>
        <tr r="Y15" s="1"/>
        <tr r="Y9" s="1"/>
        <tr r="Y9" s="1"/>
        <tr r="Y6" s="1"/>
        <tr r="Y6" s="1"/>
        <tr r="Y17" s="1"/>
        <tr r="Y17" s="1"/>
        <tr r="Y19" s="1"/>
        <tr r="Y19" s="1"/>
        <tr r="Y26" s="1"/>
        <tr r="Y26" s="1"/>
        <tr r="Y7" s="1"/>
        <tr r="Y7" s="1"/>
        <tr r="Y10" s="1"/>
        <tr r="Y10" s="1"/>
        <tr r="Y13" s="1"/>
        <tr r="Y13" s="1"/>
        <tr r="Y14" s="1"/>
        <tr r="Y14" s="1"/>
        <tr r="Y5" s="1"/>
        <tr r="Y5" s="1"/>
        <tr r="AA24" s="1"/>
        <tr r="AA24" s="1"/>
        <tr r="AA26" s="1"/>
        <tr r="AA26" s="1"/>
        <tr r="AA5" s="1"/>
        <tr r="AA5" s="1"/>
        <tr r="AA6" s="1"/>
        <tr r="AA6" s="1"/>
        <tr r="Z17" s="1"/>
        <tr r="Z17" s="1"/>
        <tr r="Z15" s="1"/>
        <tr r="Z15" s="1"/>
        <tr r="Z12" s="1"/>
        <tr r="Z12" s="1"/>
        <tr r="Z21" s="1"/>
        <tr r="Z21" s="1"/>
        <tr r="Z28" s="1"/>
        <tr r="Z28" s="1"/>
        <tr r="Z24" s="1"/>
        <tr r="Z24" s="1"/>
        <tr r="Z11" s="1"/>
        <tr r="Z11" s="1"/>
        <tr r="Z23" s="1"/>
        <tr r="Z23" s="1"/>
        <tr r="Z5" s="1"/>
        <tr r="Z5" s="1"/>
        <tr r="Z9" s="1"/>
        <tr r="Z9" s="1"/>
        <tr r="AB9" s="1"/>
        <tr r="AB9" s="1"/>
        <tr r="AB10" s="1"/>
        <tr r="AB10" s="1"/>
        <tr r="AB15" s="1"/>
        <tr r="AB15" s="1"/>
        <tr r="AB20" s="1"/>
        <tr r="AB20" s="1"/>
        <tr r="AB13" s="1"/>
        <tr r="AB13" s="1"/>
        <tr r="AB14" s="1"/>
        <tr r="AB14" s="1"/>
        <tr r="AB7" s="1"/>
        <tr r="AB7" s="1"/>
        <tr r="AB19" s="1"/>
        <tr r="AB19" s="1"/>
        <tr r="AB11" s="1"/>
        <tr r="AB11" s="1"/>
        <tr r="AB21" s="1"/>
        <tr r="AB21" s="1"/>
        <tr r="AB28" s="1"/>
        <tr r="AB28" s="1"/>
        <tr r="Y12" s="1"/>
        <tr r="Y12" s="1"/>
        <tr r="Y24" s="1"/>
        <tr r="Y24" s="1"/>
        <tr r="Y8" s="1"/>
        <tr r="Y8" s="1"/>
        <tr r="Y18" s="1"/>
        <tr r="Y18" s="1"/>
        <tr r="AA19" s="1"/>
        <tr r="AA19" s="1"/>
        <tr r="AA11" s="1"/>
        <tr r="AA11" s="1"/>
        <tr r="AA12" s="1"/>
        <tr r="AA12" s="1"/>
        <tr r="AA27" s="1"/>
        <tr r="AA27" s="1"/>
        <tr r="AA13" s="1"/>
        <tr r="AA13" s="1"/>
        <tr r="AA14" s="1"/>
        <tr r="AA14" s="1"/>
        <tr r="AA8" s="1"/>
        <tr r="AA8" s="1"/>
        <tr r="AA21" s="1"/>
        <tr r="AA21" s="1"/>
        <tr r="AA23" s="1"/>
        <tr r="AA23" s="1"/>
        <tr r="AA9" s="1"/>
        <tr r="AA9" s="1"/>
        <tr r="AA16" s="1"/>
        <tr r="AA16" s="1"/>
        <tr r="X21" s="1"/>
        <tr r="X21" s="1"/>
        <tr r="X17" s="1"/>
        <tr r="X17" s="1"/>
        <tr r="X20" s="1"/>
        <tr r="X20" s="1"/>
        <tr r="X24" s="1"/>
        <tr r="X24" s="1"/>
        <tr r="X25" s="1"/>
        <tr r="X25" s="1"/>
        <tr r="X12" s="1"/>
        <tr r="X12" s="1"/>
        <tr r="X11" s="1"/>
        <tr r="X11" s="1"/>
        <tr r="X26" s="1"/>
        <tr r="X26" s="1"/>
        <tr r="X10" s="1"/>
        <tr r="X10" s="1"/>
        <tr r="X7" s="1"/>
        <tr r="X7" s="1"/>
        <tr r="X9" s="1"/>
        <tr r="X9" s="1"/>
        <tr r="X27" s="1"/>
        <tr r="X27" s="1"/>
        <tr r="X5" s="1"/>
        <tr r="X5" s="1"/>
        <tr r="X22" s="1"/>
        <tr r="X22" s="1"/>
        <tr r="X16" s="1"/>
        <tr r="X16" s="1"/>
        <tr r="X29" s="1"/>
        <tr r="X29" s="1"/>
        <tr r="X19" s="1"/>
        <tr r="X19" s="1"/>
        <tr r="X28" s="1"/>
        <tr r="X28" s="1"/>
        <tr r="X6" s="1"/>
        <tr r="X6" s="1"/>
        <tr r="X23" s="1"/>
        <tr r="X23" s="1"/>
      </tp>
      <tp t="s">
        <v>#N/A N/A</v>
        <stp/>
        <stp>BDP|236531834456856003</stp>
        <tr r="S6" s="1"/>
      </tp>
      <tp t="s">
        <v>#N/A N/A</v>
        <stp/>
        <stp>BDP|525811724859396382</stp>
        <tr r="O15" s="1"/>
      </tp>
      <tp t="s">
        <v>#N/A N/A</v>
        <stp/>
        <stp>BDP|561034577570720721</stp>
        <tr r="AL21" s="1"/>
      </tp>
      <tp t="s">
        <v>#N/A N/A</v>
        <stp/>
        <stp>BDP|189020952383580623</stp>
        <tr r="AG6" s="1"/>
      </tp>
      <tp t="s">
        <v>#N/A N/A</v>
        <stp/>
        <stp>BDP|901026006450405332</stp>
        <tr r="AL15" s="1"/>
      </tp>
      <tp t="s">
        <v>#N/A N/A</v>
        <stp/>
        <stp>BDP|282565672624116525</stp>
        <tr r="X21" s="1"/>
      </tp>
      <tp t="s">
        <v>#N/A N/A</v>
        <stp/>
        <stp>BDP|123485679585385509</stp>
        <tr r="S21" s="1"/>
      </tp>
      <tp t="s">
        <v>#N/A N/A</v>
        <stp/>
        <stp>BDP|715639940184247559</stp>
        <tr r="H5" s="1"/>
      </tp>
      <tp t="s">
        <v>#N/A N/A</v>
        <stp/>
        <stp>BDP|341432464415687580</stp>
        <tr r="G21" s="1"/>
      </tp>
      <tp t="s">
        <v>#N/A N/A</v>
        <stp/>
        <stp>BDP|131246947605184151</stp>
        <tr r="AL25" s="1"/>
      </tp>
      <tp t="s">
        <v>#N/A N/A</v>
        <stp/>
        <stp>BDP|495491075644608582</stp>
        <tr r="O18" s="1"/>
      </tp>
      <tp t="s">
        <v>#N/A N/A</v>
        <stp/>
        <stp>BDP|357714135548970003</stp>
        <tr r="AB8" s="1"/>
      </tp>
      <tp t="s">
        <v>#N/A N/A</v>
        <stp/>
        <stp>BDP|136949756556973602</stp>
        <tr r="D21" s="1"/>
      </tp>
      <tp t="s">
        <v>#N/A N/A</v>
        <stp/>
        <stp>BDP|219610226880379824</stp>
        <tr r="W8" s="1"/>
      </tp>
      <tp t="s">
        <v>#N/A N/A</v>
        <stp/>
        <stp>BDP|327433941786995927</stp>
        <tr r="M21" s="1"/>
      </tp>
      <tp t="s">
        <v>#N/A N/A</v>
        <stp/>
        <stp>BDP|434890557073941122</stp>
        <tr r="Y9" s="1"/>
      </tp>
      <tp t="s">
        <v>#N/A N/A</v>
        <stp/>
        <stp>BDP|229452032428182066</stp>
        <tr r="I16" s="1"/>
      </tp>
      <tp t="s">
        <v>#N/A N/A</v>
        <stp/>
        <stp>BDP|345004462518584098</stp>
        <tr r="K12" s="1"/>
      </tp>
      <tp t="s">
        <v>#N/A N/A</v>
        <stp/>
        <stp>BDP|916246360549041352</stp>
        <tr r="J26" s="1"/>
      </tp>
      <tp t="s">
        <v>#N/A N/A</v>
        <stp/>
        <stp>BDP|930135898365805312</stp>
        <tr r="AF16" s="1"/>
      </tp>
      <tp t="s">
        <v>#N/A N/A</v>
        <stp/>
        <stp>BDP|738425959310167846</stp>
        <tr r="T9" s="1"/>
      </tp>
      <tp t="s">
        <v>#N/A N/A</v>
        <stp/>
        <stp>BDP|436731792797354053</stp>
        <tr r="P5" s="1"/>
      </tp>
      <tp t="s">
        <v>#N/A N/A</v>
        <stp/>
        <stp>BDP|472185593480402047</stp>
        <tr r="AE26" s="1"/>
      </tp>
      <tp t="s">
        <v>#N/A N/A</v>
        <stp/>
        <stp>BDP|622543523327408807</stp>
        <tr r="W16" s="1"/>
      </tp>
      <tp t="s">
        <v>#N/A N/A</v>
        <stp/>
        <stp>BDP|493930464460815785</stp>
        <tr r="AG20" s="1"/>
      </tp>
      <tp t="s">
        <v>#N/A N/A</v>
        <stp/>
        <stp>BDP|115954643472475465</stp>
        <tr r="AB17" s="1"/>
      </tp>
      <tp t="s">
        <v>#N/A N/A</v>
        <stp/>
        <stp>BDP|904197629220929860</stp>
        <tr r="AF5" s="1"/>
      </tp>
      <tp t="s">
        <v>#N/A N/A</v>
        <stp/>
        <stp>BDP|781581588321713665</stp>
        <tr r="AF20" s="1"/>
      </tp>
      <tp t="s">
        <v>#N/A N/A</v>
        <stp/>
        <stp>BDP|289860025448515875</stp>
        <tr r="T2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474C-65A6-4699-A9ED-621FE29C9CB7}">
  <dimension ref="A1:AO29"/>
  <sheetViews>
    <sheetView tabSelected="1" workbookViewId="0">
      <selection activeCell="D36" sqref="D36"/>
    </sheetView>
  </sheetViews>
  <sheetFormatPr defaultRowHeight="15" x14ac:dyDescent="0.25"/>
  <cols>
    <col min="1" max="1" width="16" bestFit="1" customWidth="1"/>
    <col min="2" max="3" width="16" customWidth="1"/>
    <col min="4" max="6" width="35.28515625" bestFit="1" customWidth="1"/>
    <col min="7" max="7" width="35.42578125" bestFit="1" customWidth="1"/>
    <col min="8" max="8" width="35.140625" bestFit="1" customWidth="1"/>
    <col min="9" max="9" width="35.85546875" bestFit="1" customWidth="1"/>
    <col min="10" max="10" width="35.140625" bestFit="1" customWidth="1"/>
    <col min="11" max="11" width="35.28515625" bestFit="1" customWidth="1"/>
    <col min="12" max="12" width="36.85546875" bestFit="1" customWidth="1"/>
    <col min="13" max="13" width="36.7109375" bestFit="1" customWidth="1"/>
    <col min="14" max="14" width="38" bestFit="1" customWidth="1"/>
    <col min="15" max="15" width="40.140625" bestFit="1" customWidth="1"/>
    <col min="16" max="17" width="41.140625" bestFit="1" customWidth="1"/>
    <col min="18" max="18" width="41.28515625" bestFit="1" customWidth="1"/>
    <col min="19" max="19" width="40.7109375" bestFit="1" customWidth="1"/>
    <col min="20" max="20" width="41" bestFit="1" customWidth="1"/>
    <col min="21" max="21" width="38.5703125" bestFit="1" customWidth="1"/>
    <col min="22" max="22" width="41.140625" bestFit="1" customWidth="1"/>
    <col min="23" max="23" width="45.7109375" bestFit="1" customWidth="1"/>
    <col min="24" max="24" width="36.85546875" bestFit="1" customWidth="1"/>
    <col min="25" max="25" width="37.42578125" bestFit="1" customWidth="1"/>
    <col min="26" max="26" width="36.85546875" bestFit="1" customWidth="1"/>
    <col min="27" max="27" width="37.42578125" bestFit="1" customWidth="1"/>
    <col min="28" max="28" width="37.28515625" bestFit="1" customWidth="1"/>
    <col min="29" max="29" width="39.85546875" bestFit="1" customWidth="1"/>
    <col min="30" max="30" width="36.7109375" bestFit="1" customWidth="1"/>
    <col min="31" max="31" width="40.42578125" bestFit="1" customWidth="1"/>
    <col min="32" max="32" width="39.85546875" bestFit="1" customWidth="1"/>
    <col min="33" max="34" width="40.5703125" bestFit="1" customWidth="1"/>
    <col min="35" max="35" width="40" bestFit="1" customWidth="1"/>
    <col min="36" max="37" width="40.28515625" bestFit="1" customWidth="1"/>
    <col min="38" max="38" width="36.42578125" bestFit="1" customWidth="1"/>
    <col min="39" max="39" width="35.7109375" bestFit="1" customWidth="1"/>
    <col min="40" max="40" width="36.5703125" bestFit="1" customWidth="1"/>
    <col min="41" max="41" width="39.28515625" bestFit="1" customWidth="1"/>
  </cols>
  <sheetData>
    <row r="1" spans="1:4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9</v>
      </c>
      <c r="H1" t="s">
        <v>7</v>
      </c>
      <c r="I1" t="s">
        <v>10</v>
      </c>
      <c r="J1" t="s">
        <v>11</v>
      </c>
      <c r="K1" t="s">
        <v>12</v>
      </c>
      <c r="L1" t="s">
        <v>8</v>
      </c>
      <c r="M1" t="s">
        <v>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41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39</v>
      </c>
      <c r="AO1" t="s">
        <v>38</v>
      </c>
    </row>
    <row r="2" spans="1:41" x14ac:dyDescent="0.25">
      <c r="A2" t="s">
        <v>40</v>
      </c>
      <c r="B2" t="str" cm="1">
        <f t="array" ref="B2">_xll.BDP(B1,"LONG_COMP_NAME")</f>
        <v>S&amp;P 500 INDEX</v>
      </c>
      <c r="C2" t="str" cm="1">
        <f t="array" ref="C2">_xll.BDP(C1,"LONG_COMP_NAME")</f>
        <v>S&amp;P 500 INDEX</v>
      </c>
      <c r="D2" t="str" cm="1">
        <f t="array" ref="D2">_xll.BDP(D1,"LONG_COMP_NAME")</f>
        <v>S&amp;P 500 INDEX</v>
      </c>
      <c r="E2" t="str" cm="1">
        <f t="array" ref="E2">_xll.BDP(E1,"LONG_COMP_NAME")</f>
        <v>S&amp;P 500 INDEX</v>
      </c>
      <c r="F2" t="str" cm="1">
        <f t="array" ref="F2">_xll.BDP(F1,"LONG_COMP_NAME")</f>
        <v>S&amp;P 500 INDEX</v>
      </c>
      <c r="G2" t="str" cm="1">
        <f t="array" ref="G2">_xll.BDP(G1,"LONG_COMP_NAME")</f>
        <v>S&amp;P Midcap 400 Index</v>
      </c>
      <c r="H2" t="str" cm="1">
        <f t="array" ref="H2">_xll.BDP(H1,"LONG_COMP_NAME")</f>
        <v>Russell 2000 Index</v>
      </c>
      <c r="I2" t="str" cm="1">
        <f t="array" ref="I2">_xll.BDP(I1,"LONG_COMP_NAME")</f>
        <v>Nasdaq-100 Index</v>
      </c>
      <c r="J2" t="str" cm="1">
        <f t="array" ref="J2">_xll.BDP(J1,"LONG_COMP_NAME")</f>
        <v>Russell 1000 Value Index</v>
      </c>
      <c r="K2" t="str" cm="1">
        <f t="array" ref="K2">_xll.BDP(K1,"LONG_COMP_NAME")</f>
        <v>Russell 1000 Growth Index</v>
      </c>
      <c r="L2" t="str" cm="1">
        <f t="array" ref="L2">_xll.BDP(L1,"LONG_COMP_NAME")</f>
        <v>MSCI EAFE Index</v>
      </c>
      <c r="M2" t="str" cm="1">
        <f t="array" ref="M2">_xll.BDP(M1,"LONG_COMP_NAME")</f>
        <v>MSCI Emerging Markets Index</v>
      </c>
      <c r="N2" t="str" cm="1">
        <f t="array" ref="N2">_xll.BDP(N1,"LONG_COMP_NAME")</f>
        <v>MSCI World Index</v>
      </c>
      <c r="O2" t="str" cm="1">
        <f t="array" ref="O2">_xll.BDP(O1,"LONG_COMP_NAME")</f>
        <v>US Generic Govt 2 Yr</v>
      </c>
      <c r="P2" t="str" cm="1">
        <f t="array" ref="P2">_xll.BDP(P1,"LONG_COMP_NAME")</f>
        <v>US Generic Govt 10 Yr</v>
      </c>
      <c r="Q2" t="str" cm="1">
        <f t="array" ref="Q2">_xll.BDP(Q1,"LONG_COMP_NAME")</f>
        <v>Bloomberg US Treasury Total Return Unhedged USD</v>
      </c>
      <c r="R2" t="str" cm="1">
        <f t="array" ref="R2">_xll.BDP(R1,"LONG_COMP_NAME")</f>
        <v>Bloomberg US Corporate Total Return Value Unhedged USD</v>
      </c>
      <c r="S2" t="str" cm="1">
        <f t="array" ref="S2">_xll.BDP(S1,"LONG_COMP_NAME")</f>
        <v>Bloomberg US Corporate High Yield Total Return Index Value Unhedged USD</v>
      </c>
      <c r="T2" t="str" cm="1">
        <f t="array" ref="T2">_xll.BDP(T1,"LONG_COMP_NAME")</f>
        <v>Bloomberg Global Agg Treasuries Total Return Index Value Unhedged USD</v>
      </c>
      <c r="U2" t="str" cm="1">
        <f t="array" ref="U2">_xll.BDP(U1,"LONG_COMP_NAME")</f>
        <v>J.P. Morgan EMBI Global Diversified Composite</v>
      </c>
      <c r="V2" t="str" cm="1">
        <f t="array" ref="V2">_xll.BDP(V1,"LONG_COMP_NAME")</f>
        <v>Bloomberg US Treasury Inflation Notes TR Index Value Unhedged USD</v>
      </c>
      <c r="W2" t="str" cm="1">
        <f t="array" ref="W2">_xll.BDP(W1,"LONG_COMP_NAME")</f>
        <v>#N/A Invalid Security</v>
      </c>
      <c r="X2" t="str" cm="1">
        <f t="array" ref="X2">_xll.BDP(X1,"LONG_COMP_NAME")</f>
        <v>#N/A Field Not Applicable</v>
      </c>
      <c r="Y2" t="str" cm="1">
        <f t="array" ref="Y2">_xll.BDP(Y1,"LONG_COMP_NAME")</f>
        <v>#N/A Field Not Applicable</v>
      </c>
      <c r="Z2" t="str" cm="1">
        <f t="array" ref="Z2">_xll.BDP(Z1,"LONG_COMP_NAME")</f>
        <v>XAUUSD Spot Exchange Rate - Price of 1 XAU in USD</v>
      </c>
      <c r="AA2" t="str" cm="1">
        <f t="array" ref="AA2">_xll.BDP(AA1,"LONG_COMP_NAME")</f>
        <v>#N/A Field Not Applicable</v>
      </c>
      <c r="AB2" t="str" cm="1">
        <f t="array" ref="AB2">_xll.BDP(AB1,"LONG_COMP_NAME")</f>
        <v>Bloomberg Commodity Index</v>
      </c>
      <c r="AC2" t="str" cm="1">
        <f t="array" ref="AC2">_xll.BDP(AC1,"LONG_COMP_NAME")</f>
        <v>Bloomberg Agriculture Subindex</v>
      </c>
      <c r="AD2" t="str" cm="1">
        <f t="array" ref="AD2">_xll.BDP(AD1,"LONG_COMP_NAME")</f>
        <v>#N/A Field Not Applicable</v>
      </c>
      <c r="AE2" t="str" cm="1">
        <f t="array" ref="AE2">_xll.BDP(AE1,"LONG_COMP_NAME")</f>
        <v>EURUSD Spot Exchange Rate - Price of 1 EUR in USD</v>
      </c>
      <c r="AF2" t="str" cm="1">
        <f t="array" ref="AF2">_xll.BDP(AF1,"LONG_COMP_NAME")</f>
        <v>USDJPY Spot Exchange Rate - Price of 1 USD in JPY</v>
      </c>
      <c r="AG2" t="str" cm="1">
        <f t="array" ref="AG2">_xll.BDP(AG1,"LONG_COMP_NAME")</f>
        <v>GBPUSD Spot Exchange Rate - Price of 1 GBP in USD</v>
      </c>
      <c r="AH2" t="str" cm="1">
        <f t="array" ref="AH2">_xll.BDP(AH1,"LONG_COMP_NAME")</f>
        <v>USDCNY Spot Exchange Rate - Price of 1 USD in CNY</v>
      </c>
      <c r="AI2" t="str" cm="1">
        <f t="array" ref="AI2">_xll.BDP(AI1,"LONG_COMP_NAME")</f>
        <v>JPMorgan Funds - Emerging Markets Debt Fund</v>
      </c>
      <c r="AJ2" t="str" cm="1">
        <f t="array" ref="AJ2">_xll.BDP(AJ1,"LONG_COMP_NAME")</f>
        <v>XBTUSD Spot Exchange Rate - Price of 1 XBT in USD</v>
      </c>
      <c r="AK2" t="str" cm="1">
        <f t="array" ref="AK2">_xll.BDP(AK1,"LONG_COMP_NAME")</f>
        <v>XETUSD Spot Exchange Rate - Price of 1 XET in USD</v>
      </c>
      <c r="AL2" t="str" cm="1">
        <f t="array" ref="AL2">_xll.BDP(AL1,"LONG_COMP_NAME")</f>
        <v>Bitwise 10 Crypto Index Fund</v>
      </c>
      <c r="AM2" t="str" cm="1">
        <f t="array" ref="AM2">_xll.BDP(AM1,"LONG_COMP_NAME")</f>
        <v>MSCI US REIT Index</v>
      </c>
      <c r="AN2" t="str" cm="1">
        <f t="array" ref="AN2">_xll.BDP(AN1,"LONG_COMP_NAME")</f>
        <v>FTSE EPRA NAREIT DEVELOPED Total Return Index USD</v>
      </c>
      <c r="AO2" t="str" cm="1">
        <f t="array" ref="AO2">_xll.BDP(AO1,"LONG_COMP_NAME")</f>
        <v>iShares U.S. Infrastructure ETF</v>
      </c>
    </row>
    <row r="3" spans="1:41" x14ac:dyDescent="0.25">
      <c r="A3" t="s">
        <v>3</v>
      </c>
      <c r="B3" t="s">
        <v>69</v>
      </c>
      <c r="C3" t="s">
        <v>69</v>
      </c>
      <c r="D3" t="s">
        <v>6</v>
      </c>
      <c r="E3" t="s">
        <v>5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</row>
    <row r="4" spans="1:41" x14ac:dyDescent="0.25">
      <c r="B4" t="s">
        <v>68</v>
      </c>
      <c r="C4" t="s">
        <v>70</v>
      </c>
      <c r="D4" t="str">
        <f t="shared" ref="D4:AO4" si="0">CONCATENATE("BETA_OVERRIDE_REL_INDEX=",D1)</f>
        <v>BETA_OVERRIDE_REL_INDEX=SPX Index</v>
      </c>
      <c r="E4" t="str">
        <f t="shared" si="0"/>
        <v>BETA_OVERRIDE_REL_INDEX=SPX Index</v>
      </c>
      <c r="F4" t="str">
        <f t="shared" si="0"/>
        <v>BETA_OVERRIDE_REL_INDEX=SPX Index</v>
      </c>
      <c r="G4" t="str">
        <f t="shared" si="0"/>
        <v>BETA_OVERRIDE_REL_INDEX=MID Index</v>
      </c>
      <c r="H4" t="str">
        <f t="shared" si="0"/>
        <v>BETA_OVERRIDE_REL_INDEX=RTY Index</v>
      </c>
      <c r="I4" t="str">
        <f t="shared" si="0"/>
        <v>BETA_OVERRIDE_REL_INDEX=NDX Index</v>
      </c>
      <c r="J4" t="str">
        <f t="shared" si="0"/>
        <v>BETA_OVERRIDE_REL_INDEX=RLV Index</v>
      </c>
      <c r="K4" t="str">
        <f t="shared" si="0"/>
        <v>BETA_OVERRIDE_REL_INDEX=RLG Index</v>
      </c>
      <c r="L4" t="str">
        <f t="shared" si="0"/>
        <v>BETA_OVERRIDE_REL_INDEX=MXEA Index</v>
      </c>
      <c r="M4" t="str">
        <f t="shared" si="0"/>
        <v>BETA_OVERRIDE_REL_INDEX=MXEF Index</v>
      </c>
      <c r="N4" t="str">
        <f t="shared" si="0"/>
        <v>BETA_OVERRIDE_REL_INDEX=MXWO Index</v>
      </c>
      <c r="O4" t="str">
        <f t="shared" si="0"/>
        <v>BETA_OVERRIDE_REL_INDEX=USGG2YR Index</v>
      </c>
      <c r="P4" t="str">
        <f t="shared" si="0"/>
        <v>BETA_OVERRIDE_REL_INDEX=USGG10YR Index</v>
      </c>
      <c r="Q4" t="str">
        <f t="shared" si="0"/>
        <v>BETA_OVERRIDE_REL_INDEX=LUATTRUU Index</v>
      </c>
      <c r="R4" t="str">
        <f t="shared" si="0"/>
        <v>BETA_OVERRIDE_REL_INDEX=LUACTRUU Index</v>
      </c>
      <c r="S4" t="str">
        <f t="shared" si="0"/>
        <v>BETA_OVERRIDE_REL_INDEX=LF98TRUU Index</v>
      </c>
      <c r="T4" t="str">
        <f t="shared" si="0"/>
        <v>BETA_OVERRIDE_REL_INDEX=LGTRTRUU Index</v>
      </c>
      <c r="U4" t="str">
        <f t="shared" si="0"/>
        <v>BETA_OVERRIDE_REL_INDEX=JPEIDIV Index</v>
      </c>
      <c r="V4" t="str">
        <f t="shared" si="0"/>
        <v>BETA_OVERRIDE_REL_INDEX=LBUTTRUU Index</v>
      </c>
      <c r="W4" t="str">
        <f t="shared" si="0"/>
        <v>BETA_OVERRIDE_REL_INDEX=USGG10YR - USGG2YR</v>
      </c>
      <c r="X4" t="str">
        <f t="shared" si="0"/>
        <v>BETA_OVERRIDE_REL_INDEX=CL1 Comdty</v>
      </c>
      <c r="Y4" t="str">
        <f t="shared" si="0"/>
        <v>BETA_OVERRIDE_REL_INDEX=CO1 Comdty</v>
      </c>
      <c r="Z4" t="str">
        <f t="shared" si="0"/>
        <v>BETA_OVERRIDE_REL_INDEX=XAU Curncy</v>
      </c>
      <c r="AA4" t="str">
        <f t="shared" si="0"/>
        <v>BETA_OVERRIDE_REL_INDEX=HG1 Comdty</v>
      </c>
      <c r="AB4" t="str">
        <f t="shared" si="0"/>
        <v>BETA_OVERRIDE_REL_INDEX=BCOM Index</v>
      </c>
      <c r="AC4" t="str">
        <f t="shared" si="0"/>
        <v>BETA_OVERRIDE_REL_INDEX=BCOMAG Index</v>
      </c>
      <c r="AD4" t="str">
        <f t="shared" si="0"/>
        <v>BETA_OVERRIDE_REL_INDEX=DXY Curncy</v>
      </c>
      <c r="AE4" t="str">
        <f t="shared" si="0"/>
        <v>BETA_OVERRIDE_REL_INDEX=EURUSD Curncy</v>
      </c>
      <c r="AF4" t="str">
        <f t="shared" si="0"/>
        <v>BETA_OVERRIDE_REL_INDEX=USDJPY Curncy</v>
      </c>
      <c r="AG4" t="str">
        <f t="shared" si="0"/>
        <v>BETA_OVERRIDE_REL_INDEX=GBPUSD Curncy</v>
      </c>
      <c r="AH4" t="str">
        <f t="shared" si="0"/>
        <v>BETA_OVERRIDE_REL_INDEX=USDCNY Curncy</v>
      </c>
      <c r="AI4" t="str">
        <f t="shared" si="0"/>
        <v>BETA_OVERRIDE_REL_INDEX=JPEMXUS Index</v>
      </c>
      <c r="AJ4" t="str">
        <f t="shared" si="0"/>
        <v>BETA_OVERRIDE_REL_INDEX=XBTUSD Curncy</v>
      </c>
      <c r="AK4" t="str">
        <f t="shared" si="0"/>
        <v>BETA_OVERRIDE_REL_INDEX=ETHUSD Curncy</v>
      </c>
      <c r="AL4" t="str">
        <f t="shared" si="0"/>
        <v>BETA_OVERRIDE_REL_INDEX=BITW Index</v>
      </c>
      <c r="AM4" t="str">
        <f t="shared" si="0"/>
        <v>BETA_OVERRIDE_REL_INDEX=RMZ Index</v>
      </c>
      <c r="AN4" t="str">
        <f t="shared" si="0"/>
        <v>BETA_OVERRIDE_REL_INDEX=RUGL Index</v>
      </c>
      <c r="AO4" t="str">
        <f t="shared" si="0"/>
        <v>BETA_OVERRIDE_REL_INDEX=IFRA US Equity</v>
      </c>
    </row>
    <row r="5" spans="1:41" x14ac:dyDescent="0.25">
      <c r="A5" t="s">
        <v>42</v>
      </c>
      <c r="B5" s="1" cm="1">
        <f t="array" ref="B5">_xll.BDP($A5, B$4)</f>
        <v>0.8403967121560143</v>
      </c>
      <c r="C5" s="1" cm="1">
        <f t="array" ref="C5">_xll.BDP($A5, C$4)</f>
        <v>20.573563256573969</v>
      </c>
      <c r="D5" s="1" cm="1">
        <f t="array" ref="D5">_xll.BDP($A5, "BETA_ADJ_OVERRIDABLE", "BETA_OVERRIDE_START_DT", _xll.BADDPERIODS(_xll.BTODAY(),"NUMBEROFPERIODS=-5","PER=Y"), "BETA_OVERRIDE_END_DT", _xll.BTODAY(), D$4, "BETA_OVERRIDE_PERIOD=M")</f>
        <v>0.73923180628598562</v>
      </c>
      <c r="E5" s="1" cm="1">
        <f t="array" ref="E5">_xll.BDP($A5, "BETA_ADJ_OVERRIDABLE", "BETA_OVERRIDE_START_DT", _xll.BADDPERIODS(_xll.BTODAY(),"NUMBEROFPERIODS=-3","PER=Y"), "BETA_OVERRIDE_END_DT", _xll.BTODAY(), E$4, "BETA_OVERRIDE_PERIOD=W")</f>
        <v>0.83603447387336627</v>
      </c>
      <c r="F5" s="1" cm="1">
        <f t="array" ref="F5">_xll.BDP($A5, "BETA_ADJ_OVERRIDABLE", "BETA_OVERRIDE_START_DT", _xll.BADDPERIODS(_xll.BTODAY(),"NUMBEROFPERIODS=-1","PER=Y"), "BETA_OVERRIDE_END_DT", _xll.BTODAY(), F$4, "BETA_OVERRIDE_PERIOD=D")</f>
        <v>0.79894377535543692</v>
      </c>
      <c r="G5" s="1" cm="1">
        <f t="array" ref="G5">_xll.BDP($A5, "BETA_ADJ_OVERRIDABLE", "BETA_OVERRIDE_START_DT", _xll.BADDPERIODS(_xll.BTODAY(),"NUMBEROFPERIODS=-1","PER=Y"), "BETA_OVERRIDE_END_DT", _xll.BTODAY(), G$4, "BETA_OVERRIDE_PERIOD=D")</f>
        <v>0.71770216777624496</v>
      </c>
      <c r="H5" s="1" cm="1">
        <f t="array" ref="H5">_xll.BDP($A5, "BETA_ADJ_OVERRIDABLE", "BETA_OVERRIDE_START_DT", _xll.BADDPERIODS(_xll.BTODAY(),"NUMBEROFPERIODS=-1","PER=Y"), "BETA_OVERRIDE_END_DT", _xll.BTODAY(), H$4, "BETA_OVERRIDE_PERIOD=D")</f>
        <v>0.66880028809840608</v>
      </c>
      <c r="I5" s="1" cm="1">
        <f t="array" ref="I5">_xll.BDP($A5, "BETA_ADJ_OVERRIDABLE", "BETA_OVERRIDE_START_DT", _xll.BADDPERIODS(_xll.BTODAY(),"NUMBEROFPERIODS=-1","PER=Y"), "BETA_OVERRIDE_END_DT", _xll.BTODAY(), I$4, "BETA_OVERRIDE_PERIOD=D")</f>
        <v>0.70442832036023084</v>
      </c>
      <c r="J5" s="1" cm="1">
        <f t="array" ref="J5">_xll.BDP($A5, "BETA_ADJ_OVERRIDABLE", "BETA_OVERRIDE_START_DT", _xll.BADDPERIODS(_xll.BTODAY(),"NUMBEROFPERIODS=-1","PER=Y"), "BETA_OVERRIDE_END_DT", _xll.BTODAY(), J$4, "BETA_OVERRIDE_PERIOD=D")</f>
        <v>0.82427525948162206</v>
      </c>
      <c r="K5" s="1" cm="1">
        <f t="array" ref="K5">_xll.BDP($A5, "BETA_ADJ_OVERRIDABLE", "BETA_OVERRIDE_START_DT", _xll.BADDPERIODS(_xll.BTODAY(),"NUMBEROFPERIODS=-1","PER=Y"), "BETA_OVERRIDE_END_DT", _xll.BTODAY(), K$4, "BETA_OVERRIDE_PERIOD=D")</f>
        <v>0.69400861108382839</v>
      </c>
      <c r="L5" s="1" cm="1">
        <f t="array" ref="L5">_xll.BDP($A5, "BETA_ADJ_OVERRIDABLE", "BETA_OVERRIDE_START_DT", _xll.BADDPERIODS(_xll.BTODAY(),"NUMBEROFPERIODS=-1","PER=Y"), "BETA_OVERRIDE_END_DT", _xll.BTODAY(), L$4, "BETA_OVERRIDE_PERIOD=D")</f>
        <v>0.6367765709374803</v>
      </c>
      <c r="M5" s="1" cm="1">
        <f t="array" ref="M5">_xll.BDP($A5, "BETA_ADJ_OVERRIDABLE", "BETA_OVERRIDE_START_DT", _xll.BADDPERIODS(_xll.BTODAY(),"NUMBEROFPERIODS=-1","PER=Y"), "BETA_OVERRIDE_END_DT", _xll.BTODAY(), M$4, "BETA_OVERRIDE_PERIOD=D")</f>
        <v>0.77103271723810951</v>
      </c>
      <c r="N5" s="1" cm="1">
        <f t="array" ref="N5">_xll.BDP($A5, "BETA_ADJ_OVERRIDABLE", "BETA_OVERRIDE_START_DT", _xll.BADDPERIODS(_xll.BTODAY(),"NUMBEROFPERIODS=-1","PER=Y"), "BETA_OVERRIDE_END_DT", _xll.BTODAY(), N$4, "BETA_OVERRIDE_PERIOD=D")</f>
        <v>0.96501791333976628</v>
      </c>
      <c r="O5" s="1" cm="1">
        <f t="array" ref="O5">_xll.BDP($A5, "BETA_ADJ_OVERRIDABLE", "BETA_OVERRIDE_START_DT", _xll.BADDPERIODS(_xll.BTODAY(),"NUMBEROFPERIODS=-1","PER=Y"), "BETA_OVERRIDE_END_DT", _xll.BTODAY(), O$4, "BETA_OVERRIDE_PERIOD=D")</f>
        <v>0.44792949968366685</v>
      </c>
      <c r="P5" s="1" cm="1">
        <f t="array" ref="P5">_xll.BDP($A5, "BETA_ADJ_OVERRIDABLE", "BETA_OVERRIDE_START_DT", _xll.BADDPERIODS(_xll.BTODAY(),"NUMBEROFPERIODS=-1","PER=Y"), "BETA_OVERRIDE_END_DT", _xll.BTODAY(), P$4, "BETA_OVERRIDE_PERIOD=D")</f>
        <v>0.32373118218640445</v>
      </c>
      <c r="Q5" s="1" cm="1">
        <f t="array" ref="Q5">_xll.BDP($A5, "BETA_ADJ_OVERRIDABLE", "BETA_OVERRIDE_START_DT", _xll.BADDPERIODS(_xll.BTODAY(),"NUMBEROFPERIODS=-1","PER=Y"), "BETA_OVERRIDE_END_DT", _xll.BTODAY(), Q$4, "BETA_OVERRIDE_PERIOD=D")</f>
        <v>0.31716454906308222</v>
      </c>
      <c r="R5" s="1" cm="1">
        <f t="array" ref="R5">_xll.BDP($A5, "BETA_ADJ_OVERRIDABLE", "BETA_OVERRIDE_START_DT", _xll.BADDPERIODS(_xll.BTODAY(),"NUMBEROFPERIODS=-1","PER=Y"), "BETA_OVERRIDE_END_DT", _xll.BTODAY(), R$4, "BETA_OVERRIDE_PERIOD=D")</f>
        <v>0.7873614622469709</v>
      </c>
      <c r="S5" s="1" cm="1">
        <f t="array" ref="S5">_xll.BDP($A5, "BETA_ADJ_OVERRIDABLE", "BETA_OVERRIDE_START_DT", _xll.BADDPERIODS(_xll.BTODAY(),"NUMBEROFPERIODS=-1","PER=Y"), "BETA_OVERRIDE_END_DT", _xll.BTODAY(), S$4, "BETA_OVERRIDE_PERIOD=D")</f>
        <v>2.5039672904256163</v>
      </c>
      <c r="T5" s="1" cm="1">
        <f t="array" ref="T5">_xll.BDP($A5, "BETA_ADJ_OVERRIDABLE", "BETA_OVERRIDE_START_DT", _xll.BADDPERIODS(_xll.BTODAY(),"NUMBEROFPERIODS=-1","PER=Y"), "BETA_OVERRIDE_END_DT", _xll.BTODAY(), T$4, "BETA_OVERRIDE_PERIOD=D")</f>
        <v>0.75773035563914104</v>
      </c>
      <c r="U5" s="1" cm="1">
        <f t="array" ref="U5">_xll.BDP($A5, "BETA_ADJ_OVERRIDABLE", "BETA_OVERRIDE_START_DT", _xll.BADDPERIODS(_xll.BTODAY(),"NUMBEROFPERIODS=-1","PER=Y"), "BETA_OVERRIDE_END_DT", _xll.BTODAY(), U$4, "BETA_OVERRIDE_PERIOD=D")</f>
        <v>0.93247165374178931</v>
      </c>
      <c r="V5" s="1" cm="1">
        <f t="array" ref="V5">_xll.BDP($A5, "BETA_ADJ_OVERRIDABLE", "BETA_OVERRIDE_START_DT", _xll.BADDPERIODS(_xll.BTODAY(),"NUMBEROFPERIODS=-1","PER=Y"), "BETA_OVERRIDE_END_DT", _xll.BTODAY(), V$4, "BETA_OVERRIDE_PERIOD=D")</f>
        <v>0.51999853806252971</v>
      </c>
      <c r="W5" s="1" cm="1">
        <f t="array" ref="W5">_xll.BDP($A5, "BETA_ADJ_OVERRIDABLE", "BETA_OVERRIDE_START_DT", _xll.BADDPERIODS(_xll.BTODAY(),"NUMBEROFPERIODS=-1","PER=Y"), "BETA_OVERRIDE_END_DT", _xll.BTODAY(), W$4, "BETA_OVERRIDE_PERIOD=D")</f>
        <v>0.32373118218640445</v>
      </c>
      <c r="X5" s="1" cm="1">
        <f t="array" ref="X5">_xll.BDP($A5, "BETA_ADJ_OVERRIDABLE", "BETA_OVERRIDE_START_DT", _xll.BADDPERIODS(_xll.BTODAY(),"NUMBEROFPERIODS=-1","PER=Y"), "BETA_OVERRIDE_END_DT", _xll.BTODAY(), X$4, "BETA_OVERRIDE_PERIOD=D")</f>
        <v>0.38800326638522242</v>
      </c>
      <c r="Y5" s="1" cm="1">
        <f t="array" ref="Y5">_xll.BDP($A5, "BETA_ADJ_OVERRIDABLE", "BETA_OVERRIDE_START_DT", _xll.BADDPERIODS(_xll.BTODAY(),"NUMBEROFPERIODS=-1","PER=Y"), "BETA_OVERRIDE_END_DT", _xll.BTODAY(), Y$4, "BETA_OVERRIDE_PERIOD=D")</f>
        <v>0.40245541350921177</v>
      </c>
      <c r="Z5" s="1" cm="1">
        <f t="array" ref="Z5">_xll.BDP($A5, "BETA_ADJ_OVERRIDABLE", "BETA_OVERRIDE_START_DT", _xll.BADDPERIODS(_xll.BTODAY(),"NUMBEROFPERIODS=-1","PER=Y"), "BETA_OVERRIDE_END_DT", _xll.BTODAY(), Z$4, "BETA_OVERRIDE_PERIOD=D")</f>
        <v>0.50725947576933472</v>
      </c>
      <c r="AA5" s="1" cm="1">
        <f t="array" ref="AA5">_xll.BDP($A5, "BETA_ADJ_OVERRIDABLE", "BETA_OVERRIDE_START_DT", _xll.BADDPERIODS(_xll.BTODAY(),"NUMBEROFPERIODS=-1","PER=Y"), "BETA_OVERRIDE_END_DT", _xll.BTODAY(), AA$4, "BETA_OVERRIDE_PERIOD=D")</f>
        <v>0.46433434520156158</v>
      </c>
      <c r="AB5" s="1" cm="1">
        <f t="array" ref="AB5">_xll.BDP($A5, "BETA_ADJ_OVERRIDABLE", "BETA_OVERRIDE_START_DT", _xll.BADDPERIODS(_xll.BTODAY(),"NUMBEROFPERIODS=-1","PER=Y"), "BETA_OVERRIDE_END_DT", _xll.BTODAY(), AB$4, "BETA_OVERRIDE_PERIOD=D")</f>
        <v>0.72412168781526898</v>
      </c>
      <c r="AC5" s="1" cm="1">
        <f t="array" ref="AC5">_xll.BDP($A5, "BETA_ADJ_OVERRIDABLE", "BETA_OVERRIDE_START_DT", _xll.BADDPERIODS(_xll.BTODAY(),"NUMBEROFPERIODS=-1","PER=Y"), "BETA_OVERRIDE_END_DT", _xll.BTODAY(), AC$4, "BETA_OVERRIDE_PERIOD=D")</f>
        <v>0.5915764222651867</v>
      </c>
      <c r="AD5" s="1" cm="1">
        <f t="array" ref="AD5">_xll.BDP($A5, "BETA_ADJ_OVERRIDABLE", "BETA_OVERRIDE_START_DT", _xll.BADDPERIODS(_xll.BTODAY(),"NUMBEROFPERIODS=-1","PER=Y"), "BETA_OVERRIDE_END_DT", _xll.BTODAY(), AD$4, "BETA_OVERRIDE_PERIOD=D")</f>
        <v>-4.6926505585588529E-2</v>
      </c>
      <c r="AE5" s="1" cm="1">
        <f t="array" ref="AE5">_xll.BDP($A5, "BETA_ADJ_OVERRIDABLE", "BETA_OVERRIDE_START_DT", _xll.BADDPERIODS(_xll.BTODAY(),"NUMBEROFPERIODS=-1","PER=Y"), "BETA_OVERRIDE_END_DT", _xll.BTODAY(), AE$4, "BETA_OVERRIDE_PERIOD=D")</f>
        <v>0.63197549835241484</v>
      </c>
      <c r="AF5" s="1" cm="1">
        <f t="array" ref="AF5">_xll.BDP($A5, "BETA_ADJ_OVERRIDABLE", "BETA_OVERRIDE_START_DT", _xll.BADDPERIODS(_xll.BTODAY(),"NUMBEROFPERIODS=-1","PER=Y"), "BETA_OVERRIDE_END_DT", _xll.BTODAY(), AF$4, "BETA_OVERRIDE_PERIOD=D")</f>
        <v>0.36137965955357987</v>
      </c>
      <c r="AG5" s="1" cm="1">
        <f t="array" ref="AG5">_xll.BDP($A5, "BETA_ADJ_OVERRIDABLE", "BETA_OVERRIDE_START_DT", _xll.BADDPERIODS(_xll.BTODAY(),"NUMBEROFPERIODS=-1","PER=Y"), "BETA_OVERRIDE_END_DT", _xll.BTODAY(), AG$4, "BETA_OVERRIDE_PERIOD=D")</f>
        <v>0.96092143463413915</v>
      </c>
      <c r="AH5" s="1" cm="1">
        <f t="array" ref="AH5">_xll.BDP($A5, "BETA_ADJ_OVERRIDABLE", "BETA_OVERRIDE_START_DT", _xll.BADDPERIODS(_xll.BTODAY(),"NUMBEROFPERIODS=-1","PER=Y"), "BETA_OVERRIDE_END_DT", _xll.BTODAY(), AH$4, "BETA_OVERRIDE_PERIOD=D")</f>
        <v>-1.3850525687240465</v>
      </c>
      <c r="AI5" s="1" cm="1">
        <f t="array" ref="AI5">_xll.BDP($A5, "BETA_ADJ_OVERRIDABLE", "BETA_OVERRIDE_START_DT", _xll.BADDPERIODS(_xll.BTODAY(),"NUMBEROFPERIODS=-1","PER=Y"), "BETA_OVERRIDE_END_DT", _xll.BTODAY(), AI$4, "BETA_OVERRIDE_PERIOD=D")</f>
        <v>0.32744752141202044</v>
      </c>
      <c r="AJ5" s="1" cm="1">
        <f t="array" ref="AJ5">_xll.BDP($A5, "BETA_ADJ_OVERRIDABLE", "BETA_OVERRIDE_START_DT", _xll.BADDPERIODS(_xll.BTODAY(),"NUMBEROFPERIODS=-1","PER=Y"), "BETA_OVERRIDE_END_DT", _xll.BTODAY(), AJ$4, "BETA_OVERRIDE_PERIOD=D")</f>
        <v>0.4396985804191807</v>
      </c>
      <c r="AK5" s="1" cm="1">
        <f t="array" ref="AK5">_xll.BDP($A5, "BETA_ADJ_OVERRIDABLE", "BETA_OVERRIDE_START_DT", _xll.BADDPERIODS(_xll.BTODAY(),"NUMBEROFPERIODS=-1","PER=Y"), "BETA_OVERRIDE_END_DT", _xll.BTODAY(), AK$4, "BETA_OVERRIDE_PERIOD=D")</f>
        <v>0.40270967604301328</v>
      </c>
      <c r="AL5" s="1" cm="1">
        <f t="array" ref="AL5">_xll.BDP($A5, "BETA_ADJ_OVERRIDABLE", "BETA_OVERRIDE_START_DT", _xll.BADDPERIODS(_xll.BTODAY(),"NUMBEROFPERIODS=-1","PER=Y"), "BETA_OVERRIDE_END_DT", _xll.BTODAY(), AL$4, "BETA_OVERRIDE_PERIOD=D")</f>
        <v>0.42054344544945421</v>
      </c>
      <c r="AM5" s="1" cm="1">
        <f t="array" ref="AM5">_xll.BDP($A5, "BETA_ADJ_OVERRIDABLE", "BETA_OVERRIDE_START_DT", _xll.BADDPERIODS(_xll.BTODAY(),"NUMBEROFPERIODS=-1","PER=Y"), "BETA_OVERRIDE_END_DT", _xll.BTODAY(), AM$4, "BETA_OVERRIDE_PERIOD=D")</f>
        <v>0.70928781566339949</v>
      </c>
      <c r="AN5" s="1" cm="1">
        <f t="array" ref="AN5">_xll.BDP($A5, "BETA_ADJ_OVERRIDABLE", "BETA_OVERRIDE_START_DT", _xll.BADDPERIODS(_xll.BTODAY(),"NUMBEROFPERIODS=-1","PER=Y"), "BETA_OVERRIDE_END_DT", _xll.BTODAY(), AN$4, "BETA_OVERRIDE_PERIOD=D")</f>
        <v>0.84185889329596741</v>
      </c>
      <c r="AO5" s="1" cm="1">
        <f t="array" ref="AO5">_xll.BDP($A5, "BETA_ADJ_OVERRIDABLE", "BETA_OVERRIDE_START_DT", _xll.BADDPERIODS(_xll.BTODAY(),"NUMBEROFPERIODS=-1","PER=Y"), "BETA_OVERRIDE_END_DT", _xll.BTODAY(), AO$4, "BETA_OVERRIDE_PERIOD=D")</f>
        <v>0.73462766766004051</v>
      </c>
    </row>
    <row r="6" spans="1:41" x14ac:dyDescent="0.25">
      <c r="A6" t="s">
        <v>43</v>
      </c>
      <c r="B6" s="1" cm="1">
        <f t="array" ref="B6">_xll.BDP($A6, B$4)</f>
        <v>0.99112203776756791</v>
      </c>
      <c r="C6" s="1" cm="1">
        <f t="array" ref="C6">_xll.BDP($A6, C$4)</f>
        <v>19.173146708328794</v>
      </c>
      <c r="D6" s="1" cm="1">
        <f t="array" ref="D6">_xll.BDP($A6, "BETA_ADJ_OVERRIDABLE", "BETA_OVERRIDE_START_DT", _xll.BADDPERIODS(_xll.BTODAY(),"NUMBEROFPERIODS=-5","PER=Y"), "BETA_OVERRIDE_END_DT", _xll.BTODAY(), D$4, "BETA_OVERRIDE_PERIOD=M")</f>
        <v>0.95354989366140874</v>
      </c>
      <c r="E6" s="1" cm="1">
        <f t="array" ref="E6">_xll.BDP($A6, "BETA_ADJ_OVERRIDABLE", "BETA_OVERRIDE_START_DT", _xll.BADDPERIODS(_xll.BTODAY(),"NUMBEROFPERIODS=-3","PER=Y"), "BETA_OVERRIDE_END_DT", _xll.BTODAY(), E$4, "BETA_OVERRIDE_PERIOD=W")</f>
        <v>0.94964254726379871</v>
      </c>
      <c r="F6" s="1" cm="1">
        <f t="array" ref="F6">_xll.BDP($A6, "BETA_ADJ_OVERRIDABLE", "BETA_OVERRIDE_START_DT", _xll.BADDPERIODS(_xll.BTODAY(),"NUMBEROFPERIODS=-1","PER=Y"), "BETA_OVERRIDE_END_DT", _xll.BTODAY(), F$4, "BETA_OVERRIDE_PERIOD=D")</f>
        <v>0.926989428446926</v>
      </c>
      <c r="G6" s="1" cm="1">
        <f t="array" ref="G6">_xll.BDP($A6, "BETA_ADJ_OVERRIDABLE", "BETA_OVERRIDE_START_DT", _xll.BADDPERIODS(_xll.BTODAY(),"NUMBEROFPERIODS=-1","PER=Y"), "BETA_OVERRIDE_END_DT", _xll.BTODAY(), G$4, "BETA_OVERRIDE_PERIOD=D")</f>
        <v>0.81843170482280359</v>
      </c>
      <c r="H6" s="1" cm="1">
        <f t="array" ref="H6">_xll.BDP($A6, "BETA_ADJ_OVERRIDABLE", "BETA_OVERRIDE_START_DT", _xll.BADDPERIODS(_xll.BTODAY(),"NUMBEROFPERIODS=-1","PER=Y"), "BETA_OVERRIDE_END_DT", _xll.BTODAY(), H$4, "BETA_OVERRIDE_PERIOD=D")</f>
        <v>0.75608037420656471</v>
      </c>
      <c r="I6" s="1" cm="1">
        <f t="array" ref="I6">_xll.BDP($A6, "BETA_ADJ_OVERRIDABLE", "BETA_OVERRIDE_START_DT", _xll.BADDPERIODS(_xll.BTODAY(),"NUMBEROFPERIODS=-1","PER=Y"), "BETA_OVERRIDE_END_DT", _xll.BTODAY(), I$4, "BETA_OVERRIDE_PERIOD=D")</f>
        <v>0.79038748506002732</v>
      </c>
      <c r="J6" s="1" cm="1">
        <f t="array" ref="J6">_xll.BDP($A6, "BETA_ADJ_OVERRIDABLE", "BETA_OVERRIDE_START_DT", _xll.BADDPERIODS(_xll.BTODAY(),"NUMBEROFPERIODS=-1","PER=Y"), "BETA_OVERRIDE_END_DT", _xll.BTODAY(), J$4, "BETA_OVERRIDE_PERIOD=D")</f>
        <v>0.97952339975818814</v>
      </c>
      <c r="K6" s="1" cm="1">
        <f t="array" ref="K6">_xll.BDP($A6, "BETA_ADJ_OVERRIDABLE", "BETA_OVERRIDE_START_DT", _xll.BADDPERIODS(_xll.BTODAY(),"NUMBEROFPERIODS=-1","PER=Y"), "BETA_OVERRIDE_END_DT", _xll.BTODAY(), K$4, "BETA_OVERRIDE_PERIOD=D")</f>
        <v>0.78598343710195429</v>
      </c>
      <c r="L6" s="1" cm="1">
        <f t="array" ref="L6">_xll.BDP($A6, "BETA_ADJ_OVERRIDABLE", "BETA_OVERRIDE_START_DT", _xll.BADDPERIODS(_xll.BTODAY(),"NUMBEROFPERIODS=-1","PER=Y"), "BETA_OVERRIDE_END_DT", _xll.BTODAY(), L$4, "BETA_OVERRIDE_PERIOD=D")</f>
        <v>0.50212593790170068</v>
      </c>
      <c r="M6" s="1" cm="1">
        <f t="array" ref="M6">_xll.BDP($A6, "BETA_ADJ_OVERRIDABLE", "BETA_OVERRIDE_START_DT", _xll.BADDPERIODS(_xll.BTODAY(),"NUMBEROFPERIODS=-1","PER=Y"), "BETA_OVERRIDE_END_DT", _xll.BTODAY(), M$4, "BETA_OVERRIDE_PERIOD=D")</f>
        <v>0.47775502031595402</v>
      </c>
      <c r="N6" s="1" cm="1">
        <f t="array" ref="N6">_xll.BDP($A6, "BETA_ADJ_OVERRIDABLE", "BETA_OVERRIDE_START_DT", _xll.BADDPERIODS(_xll.BTODAY(),"NUMBEROFPERIODS=-1","PER=Y"), "BETA_OVERRIDE_END_DT", _xll.BTODAY(), N$4, "BETA_OVERRIDE_PERIOD=D")</f>
        <v>1.0727179104200286</v>
      </c>
      <c r="O6" s="1" cm="1">
        <f t="array" ref="O6">_xll.BDP($A6, "BETA_ADJ_OVERRIDABLE", "BETA_OVERRIDE_START_DT", _xll.BADDPERIODS(_xll.BTODAY(),"NUMBEROFPERIODS=-1","PER=Y"), "BETA_OVERRIDE_END_DT", _xll.BTODAY(), O$4, "BETA_OVERRIDE_PERIOD=D")</f>
        <v>0.48050411152032751</v>
      </c>
      <c r="P6" s="1" cm="1">
        <f t="array" ref="P6">_xll.BDP($A6, "BETA_ADJ_OVERRIDABLE", "BETA_OVERRIDE_START_DT", _xll.BADDPERIODS(_xll.BTODAY(),"NUMBEROFPERIODS=-1","PER=Y"), "BETA_OVERRIDE_END_DT", _xll.BTODAY(), P$4, "BETA_OVERRIDE_PERIOD=D")</f>
        <v>0.33628011511014083</v>
      </c>
      <c r="Q6" s="1" cm="1">
        <f t="array" ref="Q6">_xll.BDP($A6, "BETA_ADJ_OVERRIDABLE", "BETA_OVERRIDE_START_DT", _xll.BADDPERIODS(_xll.BTODAY(),"NUMBEROFPERIODS=-1","PER=Y"), "BETA_OVERRIDE_END_DT", _xll.BTODAY(), Q$4, "BETA_OVERRIDE_PERIOD=D")</f>
        <v>0.26389418475105031</v>
      </c>
      <c r="R6" s="1" cm="1">
        <f t="array" ref="R6">_xll.BDP($A6, "BETA_ADJ_OVERRIDABLE", "BETA_OVERRIDE_START_DT", _xll.BADDPERIODS(_xll.BTODAY(),"NUMBEROFPERIODS=-1","PER=Y"), "BETA_OVERRIDE_END_DT", _xll.BTODAY(), R$4, "BETA_OVERRIDE_PERIOD=D")</f>
        <v>0.79110972759196185</v>
      </c>
      <c r="S6" s="1" cm="1">
        <f t="array" ref="S6">_xll.BDP($A6, "BETA_ADJ_OVERRIDABLE", "BETA_OVERRIDE_START_DT", _xll.BADDPERIODS(_xll.BTODAY(),"NUMBEROFPERIODS=-1","PER=Y"), "BETA_OVERRIDE_END_DT", _xll.BTODAY(), S$4, "BETA_OVERRIDE_PERIOD=D")</f>
        <v>2.763870790262271</v>
      </c>
      <c r="T6" s="1" cm="1">
        <f t="array" ref="T6">_xll.BDP($A6, "BETA_ADJ_OVERRIDABLE", "BETA_OVERRIDE_START_DT", _xll.BADDPERIODS(_xll.BTODAY(),"NUMBEROFPERIODS=-1","PER=Y"), "BETA_OVERRIDE_END_DT", _xll.BTODAY(), T$4, "BETA_OVERRIDE_PERIOD=D")</f>
        <v>0.40172367736665282</v>
      </c>
      <c r="U6" s="1" cm="1">
        <f t="array" ref="U6">_xll.BDP($A6, "BETA_ADJ_OVERRIDABLE", "BETA_OVERRIDE_START_DT", _xll.BADDPERIODS(_xll.BTODAY(),"NUMBEROFPERIODS=-1","PER=Y"), "BETA_OVERRIDE_END_DT", _xll.BTODAY(), U$4, "BETA_OVERRIDE_PERIOD=D")</f>
        <v>0.86473807275494829</v>
      </c>
      <c r="V6" s="1" cm="1">
        <f t="array" ref="V6">_xll.BDP($A6, "BETA_ADJ_OVERRIDABLE", "BETA_OVERRIDE_START_DT", _xll.BADDPERIODS(_xll.BTODAY(),"NUMBEROFPERIODS=-1","PER=Y"), "BETA_OVERRIDE_END_DT", _xll.BTODAY(), V$4, "BETA_OVERRIDE_PERIOD=D")</f>
        <v>0.66268871855289624</v>
      </c>
      <c r="W6" s="1" cm="1">
        <f t="array" ref="W6">_xll.BDP($A6, "BETA_ADJ_OVERRIDABLE", "BETA_OVERRIDE_START_DT", _xll.BADDPERIODS(_xll.BTODAY(),"NUMBEROFPERIODS=-1","PER=Y"), "BETA_OVERRIDE_END_DT", _xll.BTODAY(), W$4, "BETA_OVERRIDE_PERIOD=D")</f>
        <v>0.33628011511014083</v>
      </c>
      <c r="X6" s="1" cm="1">
        <f t="array" ref="X6">_xll.BDP($A6, "BETA_ADJ_OVERRIDABLE", "BETA_OVERRIDE_START_DT", _xll.BADDPERIODS(_xll.BTODAY(),"NUMBEROFPERIODS=-1","PER=Y"), "BETA_OVERRIDE_END_DT", _xll.BTODAY(), X$4, "BETA_OVERRIDE_PERIOD=D")</f>
        <v>0.40892887830857538</v>
      </c>
      <c r="Y6" s="1" cm="1">
        <f t="array" ref="Y6">_xll.BDP($A6, "BETA_ADJ_OVERRIDABLE", "BETA_OVERRIDE_START_DT", _xll.BADDPERIODS(_xll.BTODAY(),"NUMBEROFPERIODS=-1","PER=Y"), "BETA_OVERRIDE_END_DT", _xll.BTODAY(), Y$4, "BETA_OVERRIDE_PERIOD=D")</f>
        <v>0.42354286734988389</v>
      </c>
      <c r="Z6" s="1" cm="1">
        <f t="array" ref="Z6">_xll.BDP($A6, "BETA_ADJ_OVERRIDABLE", "BETA_OVERRIDE_START_DT", _xll.BADDPERIODS(_xll.BTODAY(),"NUMBEROFPERIODS=-1","PER=Y"), "BETA_OVERRIDE_END_DT", _xll.BTODAY(), Z$4, "BETA_OVERRIDE_PERIOD=D")</f>
        <v>0.40344983017580943</v>
      </c>
      <c r="AA6" s="1" cm="1">
        <f t="array" ref="AA6">_xll.BDP($A6, "BETA_ADJ_OVERRIDABLE", "BETA_OVERRIDE_START_DT", _xll.BADDPERIODS(_xll.BTODAY(),"NUMBEROFPERIODS=-1","PER=Y"), "BETA_OVERRIDE_END_DT", _xll.BTODAY(), AA$4, "BETA_OVERRIDE_PERIOD=D")</f>
        <v>0.40643374086962725</v>
      </c>
      <c r="AB6" s="1" cm="1">
        <f t="array" ref="AB6">_xll.BDP($A6, "BETA_ADJ_OVERRIDABLE", "BETA_OVERRIDE_START_DT", _xll.BADDPERIODS(_xll.BTODAY(),"NUMBEROFPERIODS=-1","PER=Y"), "BETA_OVERRIDE_END_DT", _xll.BTODAY(), AB$4, "BETA_OVERRIDE_PERIOD=D")</f>
        <v>0.63384463894081633</v>
      </c>
      <c r="AC6" s="1" cm="1">
        <f t="array" ref="AC6">_xll.BDP($A6, "BETA_ADJ_OVERRIDABLE", "BETA_OVERRIDE_START_DT", _xll.BADDPERIODS(_xll.BTODAY(),"NUMBEROFPERIODS=-1","PER=Y"), "BETA_OVERRIDE_END_DT", _xll.BTODAY(), AC$4, "BETA_OVERRIDE_PERIOD=D")</f>
        <v>0.53152230120102506</v>
      </c>
      <c r="AD6" s="1" cm="1">
        <f t="array" ref="AD6">_xll.BDP($A6, "BETA_ADJ_OVERRIDABLE", "BETA_OVERRIDE_START_DT", _xll.BADDPERIODS(_xll.BTODAY(),"NUMBEROFPERIODS=-1","PER=Y"), "BETA_OVERRIDE_END_DT", _xll.BTODAY(), AD$4, "BETA_OVERRIDE_PERIOD=D")</f>
        <v>0.27865793791601862</v>
      </c>
      <c r="AE6" s="1" cm="1">
        <f t="array" ref="AE6">_xll.BDP($A6, "BETA_ADJ_OVERRIDABLE", "BETA_OVERRIDE_START_DT", _xll.BADDPERIODS(_xll.BTODAY(),"NUMBEROFPERIODS=-1","PER=Y"), "BETA_OVERRIDE_END_DT", _xll.BTODAY(), AE$4, "BETA_OVERRIDE_PERIOD=D")</f>
        <v>0.33632240926331397</v>
      </c>
      <c r="AF6" s="1" cm="1">
        <f t="array" ref="AF6">_xll.BDP($A6, "BETA_ADJ_OVERRIDABLE", "BETA_OVERRIDE_START_DT", _xll.BADDPERIODS(_xll.BTODAY(),"NUMBEROFPERIODS=-1","PER=Y"), "BETA_OVERRIDE_END_DT", _xll.BTODAY(), AF$4, "BETA_OVERRIDE_PERIOD=D")</f>
        <v>0.52667985985224508</v>
      </c>
      <c r="AG6" s="1" cm="1">
        <f t="array" ref="AG6">_xll.BDP($A6, "BETA_ADJ_OVERRIDABLE", "BETA_OVERRIDE_START_DT", _xll.BADDPERIODS(_xll.BTODAY(),"NUMBEROFPERIODS=-1","PER=Y"), "BETA_OVERRIDE_END_DT", _xll.BTODAY(), AG$4, "BETA_OVERRIDE_PERIOD=D")</f>
        <v>0.68785677638895781</v>
      </c>
      <c r="AH6" s="1" cm="1">
        <f t="array" ref="AH6">_xll.BDP($A6, "BETA_ADJ_OVERRIDABLE", "BETA_OVERRIDE_START_DT", _xll.BADDPERIODS(_xll.BTODAY(),"NUMBEROFPERIODS=-1","PER=Y"), "BETA_OVERRIDE_END_DT", _xll.BTODAY(), AH$4, "BETA_OVERRIDE_PERIOD=D")</f>
        <v>-0.16303332027721978</v>
      </c>
      <c r="AI6" s="1" cm="1">
        <f t="array" ref="AI6">_xll.BDP($A6, "BETA_ADJ_OVERRIDABLE", "BETA_OVERRIDE_START_DT", _xll.BADDPERIODS(_xll.BTODAY(),"NUMBEROFPERIODS=-1","PER=Y"), "BETA_OVERRIDE_END_DT", _xll.BTODAY(), AI$4, "BETA_OVERRIDE_PERIOD=D")</f>
        <v>0.21130716832235905</v>
      </c>
      <c r="AJ6" s="1" cm="1">
        <f t="array" ref="AJ6">_xll.BDP($A6, "BETA_ADJ_OVERRIDABLE", "BETA_OVERRIDE_START_DT", _xll.BADDPERIODS(_xll.BTODAY(),"NUMBEROFPERIODS=-1","PER=Y"), "BETA_OVERRIDE_END_DT", _xll.BTODAY(), AJ$4, "BETA_OVERRIDE_PERIOD=D")</f>
        <v>0.45745423507108213</v>
      </c>
      <c r="AK6" s="1" cm="1">
        <f t="array" ref="AK6">_xll.BDP($A6, "BETA_ADJ_OVERRIDABLE", "BETA_OVERRIDE_START_DT", _xll.BADDPERIODS(_xll.BTODAY(),"NUMBEROFPERIODS=-1","PER=Y"), "BETA_OVERRIDE_END_DT", _xll.BTODAY(), AK$4, "BETA_OVERRIDE_PERIOD=D")</f>
        <v>0.41029047091060417</v>
      </c>
      <c r="AL6" s="1" cm="1">
        <f t="array" ref="AL6">_xll.BDP($A6, "BETA_ADJ_OVERRIDABLE", "BETA_OVERRIDE_START_DT", _xll.BADDPERIODS(_xll.BTODAY(),"NUMBEROFPERIODS=-1","PER=Y"), "BETA_OVERRIDE_END_DT", _xll.BTODAY(), AL$4, "BETA_OVERRIDE_PERIOD=D")</f>
        <v>0.42065117190880363</v>
      </c>
      <c r="AM6" s="1" cm="1">
        <f t="array" ref="AM6">_xll.BDP($A6, "BETA_ADJ_OVERRIDABLE", "BETA_OVERRIDE_START_DT", _xll.BADDPERIODS(_xll.BTODAY(),"NUMBEROFPERIODS=-1","PER=Y"), "BETA_OVERRIDE_END_DT", _xll.BTODAY(), AM$4, "BETA_OVERRIDE_PERIOD=D")</f>
        <v>0.76842970907256736</v>
      </c>
      <c r="AN6" s="1" cm="1">
        <f t="array" ref="AN6">_xll.BDP($A6, "BETA_ADJ_OVERRIDABLE", "BETA_OVERRIDE_START_DT", _xll.BADDPERIODS(_xll.BTODAY(),"NUMBEROFPERIODS=-1","PER=Y"), "BETA_OVERRIDE_END_DT", _xll.BTODAY(), AN$4, "BETA_OVERRIDE_PERIOD=D")</f>
        <v>0.85444162798240142</v>
      </c>
      <c r="AO6" s="1" cm="1">
        <f t="array" ref="AO6">_xll.BDP($A6, "BETA_ADJ_OVERRIDABLE", "BETA_OVERRIDE_START_DT", _xll.BADDPERIODS(_xll.BTODAY(),"NUMBEROFPERIODS=-1","PER=Y"), "BETA_OVERRIDE_END_DT", _xll.BTODAY(), AO$4, "BETA_OVERRIDE_PERIOD=D")</f>
        <v>0.83863959742529981</v>
      </c>
    </row>
    <row r="7" spans="1:41" x14ac:dyDescent="0.25">
      <c r="A7" t="s">
        <v>44</v>
      </c>
      <c r="B7" s="1" cm="1">
        <f t="array" ref="B7">_xll.BDP($A7, B$4)</f>
        <v>0.54778879002724312</v>
      </c>
      <c r="C7" s="1" cm="1">
        <f t="array" ref="C7">_xll.BDP($A7, C$4)</f>
        <v>22.587446176410722</v>
      </c>
      <c r="D7" s="1" cm="1">
        <f t="array" ref="D7">_xll.BDP($A7, "BETA_ADJ_OVERRIDABLE", "BETA_OVERRIDE_START_DT", _xll.BADDPERIODS(_xll.BTODAY(),"NUMBEROFPERIODS=-5","PER=Y"), "BETA_OVERRIDE_END_DT", _xll.BTODAY(), D$4, "BETA_OVERRIDE_PERIOD=M")</f>
        <v>1.0023505415921732</v>
      </c>
      <c r="E7" s="1" cm="1">
        <f t="array" ref="E7">_xll.BDP($A7, "BETA_ADJ_OVERRIDABLE", "BETA_OVERRIDE_START_DT", _xll.BADDPERIODS(_xll.BTODAY(),"NUMBEROFPERIODS=-3","PER=Y"), "BETA_OVERRIDE_END_DT", _xll.BTODAY(), E$4, "BETA_OVERRIDE_PERIOD=W")</f>
        <v>0.82022083873298479</v>
      </c>
      <c r="F7" s="1" cm="1">
        <f t="array" ref="F7">_xll.BDP($A7, "BETA_ADJ_OVERRIDABLE", "BETA_OVERRIDE_START_DT", _xll.BADDPERIODS(_xll.BTODAY(),"NUMBEROFPERIODS=-1","PER=Y"), "BETA_OVERRIDE_END_DT", _xll.BTODAY(), F$4, "BETA_OVERRIDE_PERIOD=D")</f>
        <v>0.69844674794786776</v>
      </c>
      <c r="G7" s="1" cm="1">
        <f t="array" ref="G7">_xll.BDP($A7, "BETA_ADJ_OVERRIDABLE", "BETA_OVERRIDE_START_DT", _xll.BADDPERIODS(_xll.BTODAY(),"NUMBEROFPERIODS=-1","PER=Y"), "BETA_OVERRIDE_END_DT", _xll.BTODAY(), G$4, "BETA_OVERRIDE_PERIOD=D")</f>
        <v>0.66009756169735567</v>
      </c>
      <c r="H7" s="1" cm="1">
        <f t="array" ref="H7">_xll.BDP($A7, "BETA_ADJ_OVERRIDABLE", "BETA_OVERRIDE_START_DT", _xll.BADDPERIODS(_xll.BTODAY(),"NUMBEROFPERIODS=-1","PER=Y"), "BETA_OVERRIDE_END_DT", _xll.BTODAY(), H$4, "BETA_OVERRIDE_PERIOD=D")</f>
        <v>0.67564755321780823</v>
      </c>
      <c r="I7" s="1" cm="1">
        <f t="array" ref="I7">_xll.BDP($A7, "BETA_ADJ_OVERRIDABLE", "BETA_OVERRIDE_START_DT", _xll.BADDPERIODS(_xll.BTODAY(),"NUMBEROFPERIODS=-1","PER=Y"), "BETA_OVERRIDE_END_DT", _xll.BTODAY(), I$4, "BETA_OVERRIDE_PERIOD=D")</f>
        <v>0.63735332554539026</v>
      </c>
      <c r="J7" s="1" cm="1">
        <f t="array" ref="J7">_xll.BDP($A7, "BETA_ADJ_OVERRIDABLE", "BETA_OVERRIDE_START_DT", _xll.BADDPERIODS(_xll.BTODAY(),"NUMBEROFPERIODS=-1","PER=Y"), "BETA_OVERRIDE_END_DT", _xll.BTODAY(), J$4, "BETA_OVERRIDE_PERIOD=D")</f>
        <v>0.70133100299348428</v>
      </c>
      <c r="K7" s="1" cm="1">
        <f t="array" ref="K7">_xll.BDP($A7, "BETA_ADJ_OVERRIDABLE", "BETA_OVERRIDE_START_DT", _xll.BADDPERIODS(_xll.BTODAY(),"NUMBEROFPERIODS=-1","PER=Y"), "BETA_OVERRIDE_END_DT", _xll.BTODAY(), K$4, "BETA_OVERRIDE_PERIOD=D")</f>
        <v>0.63600931898768309</v>
      </c>
      <c r="L7" s="1" cm="1">
        <f t="array" ref="L7">_xll.BDP($A7, "BETA_ADJ_OVERRIDABLE", "BETA_OVERRIDE_START_DT", _xll.BADDPERIODS(_xll.BTODAY(),"NUMBEROFPERIODS=-1","PER=Y"), "BETA_OVERRIDE_END_DT", _xll.BTODAY(), L$4, "BETA_OVERRIDE_PERIOD=D")</f>
        <v>0.48444878553536408</v>
      </c>
      <c r="M7" s="1" cm="1">
        <f t="array" ref="M7">_xll.BDP($A7, "BETA_ADJ_OVERRIDABLE", "BETA_OVERRIDE_START_DT", _xll.BADDPERIODS(_xll.BTODAY(),"NUMBEROFPERIODS=-1","PER=Y"), "BETA_OVERRIDE_END_DT", _xll.BTODAY(), M$4, "BETA_OVERRIDE_PERIOD=D")</f>
        <v>0.46135622982534108</v>
      </c>
      <c r="N7" s="1" cm="1">
        <f t="array" ref="N7">_xll.BDP($A7, "BETA_ADJ_OVERRIDABLE", "BETA_OVERRIDE_START_DT", _xll.BADDPERIODS(_xll.BTODAY(),"NUMBEROFPERIODS=-1","PER=Y"), "BETA_OVERRIDE_END_DT", _xll.BTODAY(), N$4, "BETA_OVERRIDE_PERIOD=D")</f>
        <v>0.81681391011331894</v>
      </c>
      <c r="O7" s="1" cm="1">
        <f t="array" ref="O7">_xll.BDP($A7, "BETA_ADJ_OVERRIDABLE", "BETA_OVERRIDE_START_DT", _xll.BADDPERIODS(_xll.BTODAY(),"NUMBEROFPERIODS=-1","PER=Y"), "BETA_OVERRIDE_END_DT", _xll.BTODAY(), O$4, "BETA_OVERRIDE_PERIOD=D")</f>
        <v>0.39717786877937644</v>
      </c>
      <c r="P7" s="1" cm="1">
        <f t="array" ref="P7">_xll.BDP($A7, "BETA_ADJ_OVERRIDABLE", "BETA_OVERRIDE_START_DT", _xll.BADDPERIODS(_xll.BTODAY(),"NUMBEROFPERIODS=-1","PER=Y"), "BETA_OVERRIDE_END_DT", _xll.BTODAY(), P$4, "BETA_OVERRIDE_PERIOD=D")</f>
        <v>0.33822014333684497</v>
      </c>
      <c r="Q7" s="1" cm="1">
        <f t="array" ref="Q7">_xll.BDP($A7, "BETA_ADJ_OVERRIDABLE", "BETA_OVERRIDE_START_DT", _xll.BADDPERIODS(_xll.BTODAY(),"NUMBEROFPERIODS=-1","PER=Y"), "BETA_OVERRIDE_END_DT", _xll.BTODAY(), Q$4, "BETA_OVERRIDE_PERIOD=D")</f>
        <v>0.27243264449277116</v>
      </c>
      <c r="R7" s="1" cm="1">
        <f t="array" ref="R7">_xll.BDP($A7, "BETA_ADJ_OVERRIDABLE", "BETA_OVERRIDE_START_DT", _xll.BADDPERIODS(_xll.BTODAY(),"NUMBEROFPERIODS=-1","PER=Y"), "BETA_OVERRIDE_END_DT", _xll.BTODAY(), R$4, "BETA_OVERRIDE_PERIOD=D")</f>
        <v>0.61226463954355959</v>
      </c>
      <c r="S7" s="1" cm="1">
        <f t="array" ref="S7">_xll.BDP($A7, "BETA_ADJ_OVERRIDABLE", "BETA_OVERRIDE_START_DT", _xll.BADDPERIODS(_xll.BTODAY(),"NUMBEROFPERIODS=-1","PER=Y"), "BETA_OVERRIDE_END_DT", _xll.BTODAY(), S$4, "BETA_OVERRIDE_PERIOD=D")</f>
        <v>1.7154145398339913</v>
      </c>
      <c r="T7" s="1" cm="1">
        <f t="array" ref="T7">_xll.BDP($A7, "BETA_ADJ_OVERRIDABLE", "BETA_OVERRIDE_START_DT", _xll.BADDPERIODS(_xll.BTODAY(),"NUMBEROFPERIODS=-1","PER=Y"), "BETA_OVERRIDE_END_DT", _xll.BTODAY(), T$4, "BETA_OVERRIDE_PERIOD=D")</f>
        <v>0.41865530623621755</v>
      </c>
      <c r="U7" s="1" cm="1">
        <f t="array" ref="U7">_xll.BDP($A7, "BETA_ADJ_OVERRIDABLE", "BETA_OVERRIDE_START_DT", _xll.BADDPERIODS(_xll.BTODAY(),"NUMBEROFPERIODS=-1","PER=Y"), "BETA_OVERRIDE_END_DT", _xll.BTODAY(), U$4, "BETA_OVERRIDE_PERIOD=D")</f>
        <v>0.84535718203062382</v>
      </c>
      <c r="V7" s="1" cm="1">
        <f t="array" ref="V7">_xll.BDP($A7, "BETA_ADJ_OVERRIDABLE", "BETA_OVERRIDE_START_DT", _xll.BADDPERIODS(_xll.BTODAY(),"NUMBEROFPERIODS=-1","PER=Y"), "BETA_OVERRIDE_END_DT", _xll.BTODAY(), V$4, "BETA_OVERRIDE_PERIOD=D")</f>
        <v>0.49970283117888314</v>
      </c>
      <c r="W7" s="1" cm="1">
        <f t="array" ref="W7">_xll.BDP($A7, "BETA_ADJ_OVERRIDABLE", "BETA_OVERRIDE_START_DT", _xll.BADDPERIODS(_xll.BTODAY(),"NUMBEROFPERIODS=-1","PER=Y"), "BETA_OVERRIDE_END_DT", _xll.BTODAY(), W$4, "BETA_OVERRIDE_PERIOD=D")</f>
        <v>0.33822014333684497</v>
      </c>
      <c r="X7" s="1" cm="1">
        <f t="array" ref="X7">_xll.BDP($A7, "BETA_ADJ_OVERRIDABLE", "BETA_OVERRIDE_START_DT", _xll.BADDPERIODS(_xll.BTODAY(),"NUMBEROFPERIODS=-1","PER=Y"), "BETA_OVERRIDE_END_DT", _xll.BTODAY(), X$4, "BETA_OVERRIDE_PERIOD=D")</f>
        <v>0.29356547491366447</v>
      </c>
      <c r="Y7" s="1" cm="1">
        <f t="array" ref="Y7">_xll.BDP($A7, "BETA_ADJ_OVERRIDABLE", "BETA_OVERRIDE_START_DT", _xll.BADDPERIODS(_xll.BTODAY(),"NUMBEROFPERIODS=-1","PER=Y"), "BETA_OVERRIDE_END_DT", _xll.BTODAY(), Y$4, "BETA_OVERRIDE_PERIOD=D")</f>
        <v>0.30639444507812835</v>
      </c>
      <c r="Z7" s="1" cm="1">
        <f t="array" ref="Z7">_xll.BDP($A7, "BETA_ADJ_OVERRIDABLE", "BETA_OVERRIDE_START_DT", _xll.BADDPERIODS(_xll.BTODAY(),"NUMBEROFPERIODS=-1","PER=Y"), "BETA_OVERRIDE_END_DT", _xll.BTODAY(), Z$4, "BETA_OVERRIDE_PERIOD=D")</f>
        <v>0.37291259915934255</v>
      </c>
      <c r="AA7" s="1" cm="1">
        <f t="array" ref="AA7">_xll.BDP($A7, "BETA_ADJ_OVERRIDABLE", "BETA_OVERRIDE_START_DT", _xll.BADDPERIODS(_xll.BTODAY(),"NUMBEROFPERIODS=-1","PER=Y"), "BETA_OVERRIDE_END_DT", _xll.BTODAY(), AA$4, "BETA_OVERRIDE_PERIOD=D")</f>
        <v>0.34868202037649976</v>
      </c>
      <c r="AB7" s="1" cm="1">
        <f t="array" ref="AB7">_xll.BDP($A7, "BETA_ADJ_OVERRIDABLE", "BETA_OVERRIDE_START_DT", _xll.BADDPERIODS(_xll.BTODAY(),"NUMBEROFPERIODS=-1","PER=Y"), "BETA_OVERRIDE_END_DT", _xll.BTODAY(), AB$4, "BETA_OVERRIDE_PERIOD=D")</f>
        <v>0.37355094442128534</v>
      </c>
      <c r="AC7" s="1" cm="1">
        <f t="array" ref="AC7">_xll.BDP($A7, "BETA_ADJ_OVERRIDABLE", "BETA_OVERRIDE_START_DT", _xll.BADDPERIODS(_xll.BTODAY(),"NUMBEROFPERIODS=-1","PER=Y"), "BETA_OVERRIDE_END_DT", _xll.BTODAY(), AC$4, "BETA_OVERRIDE_PERIOD=D")</f>
        <v>0.52139725513191149</v>
      </c>
      <c r="AD7" s="1" cm="1">
        <f t="array" ref="AD7">_xll.BDP($A7, "BETA_ADJ_OVERRIDABLE", "BETA_OVERRIDE_START_DT", _xll.BADDPERIODS(_xll.BTODAY(),"NUMBEROFPERIODS=-1","PER=Y"), "BETA_OVERRIDE_END_DT", _xll.BTODAY(), AD$4, "BETA_OVERRIDE_PERIOD=D")</f>
        <v>0.27136396848054944</v>
      </c>
      <c r="AE7" s="1" cm="1">
        <f t="array" ref="AE7">_xll.BDP($A7, "BETA_ADJ_OVERRIDABLE", "BETA_OVERRIDE_START_DT", _xll.BADDPERIODS(_xll.BTODAY(),"NUMBEROFPERIODS=-1","PER=Y"), "BETA_OVERRIDE_END_DT", _xll.BTODAY(), AE$4, "BETA_OVERRIDE_PERIOD=D")</f>
        <v>0.36019518365399528</v>
      </c>
      <c r="AF7" s="1" cm="1">
        <f t="array" ref="AF7">_xll.BDP($A7, "BETA_ADJ_OVERRIDABLE", "BETA_OVERRIDE_START_DT", _xll.BADDPERIODS(_xll.BTODAY(),"NUMBEROFPERIODS=-1","PER=Y"), "BETA_OVERRIDE_END_DT", _xll.BTODAY(), AF$4, "BETA_OVERRIDE_PERIOD=D")</f>
        <v>0.48237730110268923</v>
      </c>
      <c r="AG7" s="1" cm="1">
        <f t="array" ref="AG7">_xll.BDP($A7, "BETA_ADJ_OVERRIDABLE", "BETA_OVERRIDE_START_DT", _xll.BADDPERIODS(_xll.BTODAY(),"NUMBEROFPERIODS=-1","PER=Y"), "BETA_OVERRIDE_END_DT", _xll.BTODAY(), AG$4, "BETA_OVERRIDE_PERIOD=D")</f>
        <v>0.42287614719703193</v>
      </c>
      <c r="AH7" s="1" cm="1">
        <f t="array" ref="AH7">_xll.BDP($A7, "BETA_ADJ_OVERRIDABLE", "BETA_OVERRIDE_START_DT", _xll.BADDPERIODS(_xll.BTODAY(),"NUMBEROFPERIODS=-1","PER=Y"), "BETA_OVERRIDE_END_DT", _xll.BTODAY(), AH$4, "BETA_OVERRIDE_PERIOD=D")</f>
        <v>0.46635072201175448</v>
      </c>
      <c r="AI7" s="1" cm="1">
        <f t="array" ref="AI7">_xll.BDP($A7, "BETA_ADJ_OVERRIDABLE", "BETA_OVERRIDE_START_DT", _xll.BADDPERIODS(_xll.BTODAY(),"NUMBEROFPERIODS=-1","PER=Y"), "BETA_OVERRIDE_END_DT", _xll.BTODAY(), AI$4, "BETA_OVERRIDE_PERIOD=D")</f>
        <v>0.52107493902508895</v>
      </c>
      <c r="AJ7" s="1" cm="1">
        <f t="array" ref="AJ7">_xll.BDP($A7, "BETA_ADJ_OVERRIDABLE", "BETA_OVERRIDE_START_DT", _xll.BADDPERIODS(_xll.BTODAY(),"NUMBEROFPERIODS=-1","PER=Y"), "BETA_OVERRIDE_END_DT", _xll.BTODAY(), AJ$4, "BETA_OVERRIDE_PERIOD=D")</f>
        <v>0.4664737826343418</v>
      </c>
      <c r="AK7" s="1" cm="1">
        <f t="array" ref="AK7">_xll.BDP($A7, "BETA_ADJ_OVERRIDABLE", "BETA_OVERRIDE_START_DT", _xll.BADDPERIODS(_xll.BTODAY(),"NUMBEROFPERIODS=-1","PER=Y"), "BETA_OVERRIDE_END_DT", _xll.BTODAY(), AK$4, "BETA_OVERRIDE_PERIOD=D")</f>
        <v>0.40501506112999469</v>
      </c>
      <c r="AL7" s="1" cm="1">
        <f t="array" ref="AL7">_xll.BDP($A7, "BETA_ADJ_OVERRIDABLE", "BETA_OVERRIDE_START_DT", _xll.BADDPERIODS(_xll.BTODAY(),"NUMBEROFPERIODS=-1","PER=Y"), "BETA_OVERRIDE_END_DT", _xll.BTODAY(), AL$4, "BETA_OVERRIDE_PERIOD=D")</f>
        <v>0.430398924673283</v>
      </c>
      <c r="AM7" s="1" cm="1">
        <f t="array" ref="AM7">_xll.BDP($A7, "BETA_ADJ_OVERRIDABLE", "BETA_OVERRIDE_START_DT", _xll.BADDPERIODS(_xll.BTODAY(),"NUMBEROFPERIODS=-1","PER=Y"), "BETA_OVERRIDE_END_DT", _xll.BTODAY(), AM$4, "BETA_OVERRIDE_PERIOD=D")</f>
        <v>0.56731901333631607</v>
      </c>
      <c r="AN7" s="1" cm="1">
        <f t="array" ref="AN7">_xll.BDP($A7, "BETA_ADJ_OVERRIDABLE", "BETA_OVERRIDE_START_DT", _xll.BADDPERIODS(_xll.BTODAY(),"NUMBEROFPERIODS=-1","PER=Y"), "BETA_OVERRIDE_END_DT", _xll.BTODAY(), AN$4, "BETA_OVERRIDE_PERIOD=D")</f>
        <v>0.65875174146978188</v>
      </c>
      <c r="AO7" s="1" cm="1">
        <f t="array" ref="AO7">_xll.BDP($A7, "BETA_ADJ_OVERRIDABLE", "BETA_OVERRIDE_START_DT", _xll.BADDPERIODS(_xll.BTODAY(),"NUMBEROFPERIODS=-1","PER=Y"), "BETA_OVERRIDE_END_DT", _xll.BTODAY(), AO$4, "BETA_OVERRIDE_PERIOD=D")</f>
        <v>0.72728590494212597</v>
      </c>
    </row>
    <row r="8" spans="1:41" x14ac:dyDescent="0.25">
      <c r="A8" t="s">
        <v>45</v>
      </c>
      <c r="B8" s="1" cm="1">
        <f t="array" ref="B8">_xll.BDP($A8, B$4)</f>
        <v>0.98602206987493879</v>
      </c>
      <c r="C8" s="1" cm="1">
        <f t="array" ref="C8">_xll.BDP($A8, C$4)</f>
        <v>5.0189216156098482</v>
      </c>
      <c r="D8" s="1" cm="1">
        <f t="array" ref="D8">_xll.BDP($A8, "BETA_ADJ_OVERRIDABLE", "BETA_OVERRIDE_START_DT", _xll.BADDPERIODS(_xll.BTODAY(),"NUMBEROFPERIODS=-5","PER=Y"), "BETA_OVERRIDE_END_DT", _xll.BTODAY(), D$4, "BETA_OVERRIDE_PERIOD=M")</f>
        <v>0.50432822600004257</v>
      </c>
      <c r="E8" s="1" cm="1">
        <f t="array" ref="E8">_xll.BDP($A8, "BETA_ADJ_OVERRIDABLE", "BETA_OVERRIDE_START_DT", _xll.BADDPERIODS(_xll.BTODAY(),"NUMBEROFPERIODS=-3","PER=Y"), "BETA_OVERRIDE_END_DT", _xll.BTODAY(), E$4, "BETA_OVERRIDE_PERIOD=W")</f>
        <v>0.40093963961654511</v>
      </c>
      <c r="F8" s="1" cm="1">
        <f t="array" ref="F8">_xll.BDP($A8, "BETA_ADJ_OVERRIDABLE", "BETA_OVERRIDE_START_DT", _xll.BADDPERIODS(_xll.BTODAY(),"NUMBEROFPERIODS=-1","PER=Y"), "BETA_OVERRIDE_END_DT", _xll.BTODAY(), F$4, "BETA_OVERRIDE_PERIOD=D")</f>
        <v>0.35371858009854157</v>
      </c>
      <c r="G8" s="1" cm="1">
        <f t="array" ref="G8">_xll.BDP($A8, "BETA_ADJ_OVERRIDABLE", "BETA_OVERRIDE_START_DT", _xll.BADDPERIODS(_xll.BTODAY(),"NUMBEROFPERIODS=-1","PER=Y"), "BETA_OVERRIDE_END_DT", _xll.BTODAY(), G$4, "BETA_OVERRIDE_PERIOD=D")</f>
        <v>0.35864627349873657</v>
      </c>
      <c r="H8" s="1" cm="1">
        <f t="array" ref="H8">_xll.BDP($A8, "BETA_ADJ_OVERRIDABLE", "BETA_OVERRIDE_START_DT", _xll.BADDPERIODS(_xll.BTODAY(),"NUMBEROFPERIODS=-1","PER=Y"), "BETA_OVERRIDE_END_DT", _xll.BTODAY(), H$4, "BETA_OVERRIDE_PERIOD=D")</f>
        <v>0.35646450971149979</v>
      </c>
      <c r="I8" s="1" cm="1">
        <f t="array" ref="I8">_xll.BDP($A8, "BETA_ADJ_OVERRIDABLE", "BETA_OVERRIDE_START_DT", _xll.BADDPERIODS(_xll.BTODAY(),"NUMBEROFPERIODS=-1","PER=Y"), "BETA_OVERRIDE_END_DT", _xll.BTODAY(), I$4, "BETA_OVERRIDE_PERIOD=D")</f>
        <v>0.34302860371384747</v>
      </c>
      <c r="J8" s="1" cm="1">
        <f t="array" ref="J8">_xll.BDP($A8, "BETA_ADJ_OVERRIDABLE", "BETA_OVERRIDE_START_DT", _xll.BADDPERIODS(_xll.BTODAY(),"NUMBEROFPERIODS=-1","PER=Y"), "BETA_OVERRIDE_END_DT", _xll.BTODAY(), J$4, "BETA_OVERRIDE_PERIOD=D")</f>
        <v>0.3718534195805871</v>
      </c>
      <c r="K8" s="1" cm="1">
        <f t="array" ref="K8">_xll.BDP($A8, "BETA_ADJ_OVERRIDABLE", "BETA_OVERRIDE_START_DT", _xll.BADDPERIODS(_xll.BTODAY(),"NUMBEROFPERIODS=-1","PER=Y"), "BETA_OVERRIDE_END_DT", _xll.BTODAY(), K$4, "BETA_OVERRIDE_PERIOD=D")</f>
        <v>0.34318599131231692</v>
      </c>
      <c r="L8" s="1" cm="1">
        <f t="array" ref="L8">_xll.BDP($A8, "BETA_ADJ_OVERRIDABLE", "BETA_OVERRIDE_START_DT", _xll.BADDPERIODS(_xll.BTODAY(),"NUMBEROFPERIODS=-1","PER=Y"), "BETA_OVERRIDE_END_DT", _xll.BTODAY(), L$4, "BETA_OVERRIDE_PERIOD=D")</f>
        <v>0.36962512893477423</v>
      </c>
      <c r="M8" s="1" cm="1">
        <f t="array" ref="M8">_xll.BDP($A8, "BETA_ADJ_OVERRIDABLE", "BETA_OVERRIDE_START_DT", _xll.BADDPERIODS(_xll.BTODAY(),"NUMBEROFPERIODS=-1","PER=Y"), "BETA_OVERRIDE_END_DT", _xll.BTODAY(), M$4, "BETA_OVERRIDE_PERIOD=D")</f>
        <v>0.35198264119095213</v>
      </c>
      <c r="N8" s="1" cm="1">
        <f t="array" ref="N8">_xll.BDP($A8, "BETA_ADJ_OVERRIDABLE", "BETA_OVERRIDE_START_DT", _xll.BADDPERIODS(_xll.BTODAY(),"NUMBEROFPERIODS=-1","PER=Y"), "BETA_OVERRIDE_END_DT", _xll.BTODAY(), N$4, "BETA_OVERRIDE_PERIOD=D")</f>
        <v>0.36391724444240042</v>
      </c>
      <c r="O8" s="1" cm="1">
        <f t="array" ref="O8">_xll.BDP($A8, "BETA_ADJ_OVERRIDABLE", "BETA_OVERRIDE_START_DT", _xll.BADDPERIODS(_xll.BTODAY(),"NUMBEROFPERIODS=-1","PER=Y"), "BETA_OVERRIDE_END_DT", _xll.BTODAY(), O$4, "BETA_OVERRIDE_PERIOD=D")</f>
        <v>0.22043271609884463</v>
      </c>
      <c r="P8" s="1" cm="1">
        <f t="array" ref="P8">_xll.BDP($A8, "BETA_ADJ_OVERRIDABLE", "BETA_OVERRIDE_START_DT", _xll.BADDPERIODS(_xll.BTODAY(),"NUMBEROFPERIODS=-1","PER=Y"), "BETA_OVERRIDE_END_DT", _xll.BTODAY(), P$4, "BETA_OVERRIDE_PERIOD=D")</f>
        <v>0.17407848244155541</v>
      </c>
      <c r="Q8" s="1" cm="1">
        <f t="array" ref="Q8">_xll.BDP($A8, "BETA_ADJ_OVERRIDABLE", "BETA_OVERRIDE_START_DT", _xll.BADDPERIODS(_xll.BTODAY(),"NUMBEROFPERIODS=-1","PER=Y"), "BETA_OVERRIDE_END_DT", _xll.BTODAY(), Q$4, "BETA_OVERRIDE_PERIOD=D")</f>
        <v>1.0379840014300763</v>
      </c>
      <c r="R8" s="1" cm="1">
        <f t="array" ref="R8">_xll.BDP($A8, "BETA_ADJ_OVERRIDABLE", "BETA_OVERRIDE_START_DT", _xll.BADDPERIODS(_xll.BTODAY(),"NUMBEROFPERIODS=-1","PER=Y"), "BETA_OVERRIDE_END_DT", _xll.BTODAY(), R$4, "BETA_OVERRIDE_PERIOD=D")</f>
        <v>0.94528131989276198</v>
      </c>
      <c r="S8" s="1" cm="1">
        <f t="array" ref="S8">_xll.BDP($A8, "BETA_ADJ_OVERRIDABLE", "BETA_OVERRIDE_START_DT", _xll.BADDPERIODS(_xll.BTODAY(),"NUMBEROFPERIODS=-1","PER=Y"), "BETA_OVERRIDE_END_DT", _xll.BTODAY(), S$4, "BETA_OVERRIDE_PERIOD=D")</f>
        <v>0.69148944717116034</v>
      </c>
      <c r="T8" s="1" cm="1">
        <f t="array" ref="T8">_xll.BDP($A8, "BETA_ADJ_OVERRIDABLE", "BETA_OVERRIDE_START_DT", _xll.BADDPERIODS(_xll.BTODAY(),"NUMBEROFPERIODS=-1","PER=Y"), "BETA_OVERRIDE_END_DT", _xll.BTODAY(), T$4, "BETA_OVERRIDE_PERIOD=D")</f>
        <v>0.72786829868097436</v>
      </c>
      <c r="U8" s="1" cm="1">
        <f t="array" ref="U8">_xll.BDP($A8, "BETA_ADJ_OVERRIDABLE", "BETA_OVERRIDE_START_DT", _xll.BADDPERIODS(_xll.BTODAY(),"NUMBEROFPERIODS=-1","PER=Y"), "BETA_OVERRIDE_END_DT", _xll.BTODAY(), U$4, "BETA_OVERRIDE_PERIOD=D")</f>
        <v>0.75002617709431707</v>
      </c>
      <c r="V8" s="1" cm="1">
        <f t="array" ref="V8">_xll.BDP($A8, "BETA_ADJ_OVERRIDABLE", "BETA_OVERRIDE_START_DT", _xll.BADDPERIODS(_xll.BTODAY(),"NUMBEROFPERIODS=-1","PER=Y"), "BETA_OVERRIDE_END_DT", _xll.BTODAY(), V$4, "BETA_OVERRIDE_PERIOD=D")</f>
        <v>0.99535961530824146</v>
      </c>
      <c r="W8" s="1" cm="1">
        <f t="array" ref="W8">_xll.BDP($A8, "BETA_ADJ_OVERRIDABLE", "BETA_OVERRIDE_START_DT", _xll.BADDPERIODS(_xll.BTODAY(),"NUMBEROFPERIODS=-1","PER=Y"), "BETA_OVERRIDE_END_DT", _xll.BTODAY(), W$4, "BETA_OVERRIDE_PERIOD=D")</f>
        <v>0.17407848244155541</v>
      </c>
      <c r="X8" s="1" cm="1">
        <f t="array" ref="X8">_xll.BDP($A8, "BETA_ADJ_OVERRIDABLE", "BETA_OVERRIDE_START_DT", _xll.BADDPERIODS(_xll.BTODAY(),"NUMBEROFPERIODS=-1","PER=Y"), "BETA_OVERRIDE_END_DT", _xll.BTODAY(), X$4, "BETA_OVERRIDE_PERIOD=D")</f>
        <v>0.31375218133848193</v>
      </c>
      <c r="Y8" s="1" cm="1">
        <f t="array" ref="Y8">_xll.BDP($A8, "BETA_ADJ_OVERRIDABLE", "BETA_OVERRIDE_START_DT", _xll.BADDPERIODS(_xll.BTODAY(),"NUMBEROFPERIODS=-1","PER=Y"), "BETA_OVERRIDE_END_DT", _xll.BTODAY(), Y$4, "BETA_OVERRIDE_PERIOD=D")</f>
        <v>0.31666934599044216</v>
      </c>
      <c r="Z8" s="1" cm="1">
        <f t="array" ref="Z8">_xll.BDP($A8, "BETA_ADJ_OVERRIDABLE", "BETA_OVERRIDE_START_DT", _xll.BADDPERIODS(_xll.BTODAY(),"NUMBEROFPERIODS=-1","PER=Y"), "BETA_OVERRIDE_END_DT", _xll.BTODAY(), Z$4, "BETA_OVERRIDE_PERIOD=D")</f>
        <v>0.36218915549763098</v>
      </c>
      <c r="AA8" s="1" cm="1">
        <f t="array" ref="AA8">_xll.BDP($A8, "BETA_ADJ_OVERRIDABLE", "BETA_OVERRIDE_START_DT", _xll.BADDPERIODS(_xll.BTODAY(),"NUMBEROFPERIODS=-1","PER=Y"), "BETA_OVERRIDE_END_DT", _xll.BTODAY(), AA$4, "BETA_OVERRIDE_PERIOD=D")</f>
        <v>0.33754529164794256</v>
      </c>
      <c r="AB8" s="1" cm="1">
        <f t="array" ref="AB8">_xll.BDP($A8, "BETA_ADJ_OVERRIDABLE", "BETA_OVERRIDE_START_DT", _xll.BADDPERIODS(_xll.BTODAY(),"NUMBEROFPERIODS=-1","PER=Y"), "BETA_OVERRIDE_END_DT", _xll.BTODAY(), AB$4, "BETA_OVERRIDE_PERIOD=D")</f>
        <v>0.31854020157057722</v>
      </c>
      <c r="AC8" s="1" cm="1">
        <f t="array" ref="AC8">_xll.BDP($A8, "BETA_ADJ_OVERRIDABLE", "BETA_OVERRIDE_START_DT", _xll.BADDPERIODS(_xll.BTODAY(),"NUMBEROFPERIODS=-1","PER=Y"), "BETA_OVERRIDE_END_DT", _xll.BTODAY(), AC$4, "BETA_OVERRIDE_PERIOD=D")</f>
        <v>0.32836755938262396</v>
      </c>
      <c r="AD8" s="1" cm="1">
        <f t="array" ref="AD8">_xll.BDP($A8, "BETA_ADJ_OVERRIDABLE", "BETA_OVERRIDE_START_DT", _xll.BADDPERIODS(_xll.BTODAY(),"NUMBEROFPERIODS=-1","PER=Y"), "BETA_OVERRIDE_END_DT", _xll.BTODAY(), AD$4, "BETA_OVERRIDE_PERIOD=D")</f>
        <v>0.19041009359653124</v>
      </c>
      <c r="AE8" s="1" cm="1">
        <f t="array" ref="AE8">_xll.BDP($A8, "BETA_ADJ_OVERRIDABLE", "BETA_OVERRIDE_START_DT", _xll.BADDPERIODS(_xll.BTODAY(),"NUMBEROFPERIODS=-1","PER=Y"), "BETA_OVERRIDE_END_DT", _xll.BTODAY(), AE$4, "BETA_OVERRIDE_PERIOD=D")</f>
        <v>0.43825810517299824</v>
      </c>
      <c r="AF8" s="1" cm="1">
        <f t="array" ref="AF8">_xll.BDP($A8, "BETA_ADJ_OVERRIDABLE", "BETA_OVERRIDE_START_DT", _xll.BADDPERIODS(_xll.BTODAY(),"NUMBEROFPERIODS=-1","PER=Y"), "BETA_OVERRIDE_END_DT", _xll.BTODAY(), AF$4, "BETA_OVERRIDE_PERIOD=D")</f>
        <v>0.19487854758942</v>
      </c>
      <c r="AG8" s="1" cm="1">
        <f t="array" ref="AG8">_xll.BDP($A8, "BETA_ADJ_OVERRIDABLE", "BETA_OVERRIDE_START_DT", _xll.BADDPERIODS(_xll.BTODAY(),"NUMBEROFPERIODS=-1","PER=Y"), "BETA_OVERRIDE_END_DT", _xll.BTODAY(), AG$4, "BETA_OVERRIDE_PERIOD=D")</f>
        <v>0.4830477725157315</v>
      </c>
      <c r="AH8" s="1" cm="1">
        <f t="array" ref="AH8">_xll.BDP($A8, "BETA_ADJ_OVERRIDABLE", "BETA_OVERRIDE_START_DT", _xll.BADDPERIODS(_xll.BTODAY(),"NUMBEROFPERIODS=-1","PER=Y"), "BETA_OVERRIDE_END_DT", _xll.BTODAY(), AH$4, "BETA_OVERRIDE_PERIOD=D")</f>
        <v>7.5876606328678653E-2</v>
      </c>
      <c r="AI8" s="1" cm="1">
        <f t="array" ref="AI8">_xll.BDP($A8, "BETA_ADJ_OVERRIDABLE", "BETA_OVERRIDE_START_DT", _xll.BADDPERIODS(_xll.BTODAY(),"NUMBEROFPERIODS=-1","PER=Y"), "BETA_OVERRIDE_END_DT", _xll.BTODAY(), AI$4, "BETA_OVERRIDE_PERIOD=D")</f>
        <v>0.47257159295944073</v>
      </c>
      <c r="AJ8" s="1" cm="1">
        <f t="array" ref="AJ8">_xll.BDP($A8, "BETA_ADJ_OVERRIDABLE", "BETA_OVERRIDE_START_DT", _xll.BADDPERIODS(_xll.BTODAY(),"NUMBEROFPERIODS=-1","PER=Y"), "BETA_OVERRIDE_END_DT", _xll.BTODAY(), AJ$4, "BETA_OVERRIDE_PERIOD=D")</f>
        <v>0.33131367688148172</v>
      </c>
      <c r="AK8" s="1" cm="1">
        <f t="array" ref="AK8">_xll.BDP($A8, "BETA_ADJ_OVERRIDABLE", "BETA_OVERRIDE_START_DT", _xll.BADDPERIODS(_xll.BTODAY(),"NUMBEROFPERIODS=-1","PER=Y"), "BETA_OVERRIDE_END_DT", _xll.BTODAY(), AK$4, "BETA_OVERRIDE_PERIOD=D")</f>
        <v>0.33727139110337084</v>
      </c>
      <c r="AL8" s="1" cm="1">
        <f t="array" ref="AL8">_xll.BDP($A8, "BETA_ADJ_OVERRIDABLE", "BETA_OVERRIDE_START_DT", _xll.BADDPERIODS(_xll.BTODAY(),"NUMBEROFPERIODS=-1","PER=Y"), "BETA_OVERRIDE_END_DT", _xll.BTODAY(), AL$4, "BETA_OVERRIDE_PERIOD=D")</f>
        <v>0.33646155009008533</v>
      </c>
      <c r="AM8" s="1" cm="1">
        <f t="array" ref="AM8">_xll.BDP($A8, "BETA_ADJ_OVERRIDABLE", "BETA_OVERRIDE_START_DT", _xll.BADDPERIODS(_xll.BTODAY(),"NUMBEROFPERIODS=-1","PER=Y"), "BETA_OVERRIDE_END_DT", _xll.BTODAY(), AM$4, "BETA_OVERRIDE_PERIOD=D")</f>
        <v>0.40349618347335292</v>
      </c>
      <c r="AN8" s="1" cm="1">
        <f t="array" ref="AN8">_xll.BDP($A8, "BETA_ADJ_OVERRIDABLE", "BETA_OVERRIDE_START_DT", _xll.BADDPERIODS(_xll.BTODAY(),"NUMBEROFPERIODS=-1","PER=Y"), "BETA_OVERRIDE_END_DT", _xll.BTODAY(), AN$4, "BETA_OVERRIDE_PERIOD=D")</f>
        <v>0.44129480155412976</v>
      </c>
      <c r="AO8" s="1" cm="1">
        <f t="array" ref="AO8">_xll.BDP($A8, "BETA_ADJ_OVERRIDABLE", "BETA_OVERRIDE_START_DT", _xll.BADDPERIODS(_xll.BTODAY(),"NUMBEROFPERIODS=-1","PER=Y"), "BETA_OVERRIDE_END_DT", _xll.BTODAY(), AO$4, "BETA_OVERRIDE_PERIOD=D")</f>
        <v>0.37238071055611499</v>
      </c>
    </row>
    <row r="9" spans="1:41" x14ac:dyDescent="0.25">
      <c r="A9" t="s">
        <v>46</v>
      </c>
      <c r="B9" s="1" cm="1">
        <f t="array" ref="B9">_xll.BDP($A9, B$4)</f>
        <v>0.82534775535401439</v>
      </c>
      <c r="C9" s="1" cm="1">
        <f t="array" ref="C9">_xll.BDP($A9, C$4)</f>
        <v>26.67358126861507</v>
      </c>
      <c r="D9" s="1" cm="1">
        <f t="array" ref="D9">_xll.BDP($A9, "BETA_ADJ_OVERRIDABLE", "BETA_OVERRIDE_START_DT", _xll.BADDPERIODS(_xll.BTODAY(),"NUMBEROFPERIODS=-5","PER=Y"), "BETA_OVERRIDE_END_DT", _xll.BTODAY(), D$4, "BETA_OVERRIDE_PERIOD=M")</f>
        <v>0.81900882884915549</v>
      </c>
      <c r="E9" s="1" cm="1">
        <f t="array" ref="E9">_xll.BDP($A9, "BETA_ADJ_OVERRIDABLE", "BETA_OVERRIDE_START_DT", _xll.BADDPERIODS(_xll.BTODAY(),"NUMBEROFPERIODS=-3","PER=Y"), "BETA_OVERRIDE_END_DT", _xll.BTODAY(), E$4, "BETA_OVERRIDE_PERIOD=W")</f>
        <v>0.9785279417077285</v>
      </c>
      <c r="F9" s="1" cm="1">
        <f t="array" ref="F9">_xll.BDP($A9, "BETA_ADJ_OVERRIDABLE", "BETA_OVERRIDE_START_DT", _xll.BADDPERIODS(_xll.BTODAY(),"NUMBEROFPERIODS=-1","PER=Y"), "BETA_OVERRIDE_END_DT", _xll.BTODAY(), F$4, "BETA_OVERRIDE_PERIOD=D")</f>
        <v>0.90613201375228158</v>
      </c>
      <c r="G9" s="1" cm="1">
        <f t="array" ref="G9">_xll.BDP($A9, "BETA_ADJ_OVERRIDABLE", "BETA_OVERRIDE_START_DT", _xll.BADDPERIODS(_xll.BTODAY(),"NUMBEROFPERIODS=-1","PER=Y"), "BETA_OVERRIDE_END_DT", _xll.BTODAY(), G$4, "BETA_OVERRIDE_PERIOD=D")</f>
        <v>0.79330671646023787</v>
      </c>
      <c r="H9" s="1" cm="1">
        <f t="array" ref="H9">_xll.BDP($A9, "BETA_ADJ_OVERRIDABLE", "BETA_OVERRIDE_START_DT", _xll.BADDPERIODS(_xll.BTODAY(),"NUMBEROFPERIODS=-1","PER=Y"), "BETA_OVERRIDE_END_DT", _xll.BTODAY(), H$4, "BETA_OVERRIDE_PERIOD=D")</f>
        <v>0.73290855992704063</v>
      </c>
      <c r="I9" s="1" cm="1">
        <f t="array" ref="I9">_xll.BDP($A9, "BETA_ADJ_OVERRIDABLE", "BETA_OVERRIDE_START_DT", _xll.BADDPERIODS(_xll.BTODAY(),"NUMBEROFPERIODS=-1","PER=Y"), "BETA_OVERRIDE_END_DT", _xll.BTODAY(), I$4, "BETA_OVERRIDE_PERIOD=D")</f>
        <v>0.7971134635850281</v>
      </c>
      <c r="J9" s="1" cm="1">
        <f t="array" ref="J9">_xll.BDP($A9, "BETA_ADJ_OVERRIDABLE", "BETA_OVERRIDE_START_DT", _xll.BADDPERIODS(_xll.BTODAY(),"NUMBEROFPERIODS=-1","PER=Y"), "BETA_OVERRIDE_END_DT", _xll.BTODAY(), J$4, "BETA_OVERRIDE_PERIOD=D")</f>
        <v>0.91359245518078169</v>
      </c>
      <c r="K9" s="1" cm="1">
        <f t="array" ref="K9">_xll.BDP($A9, "BETA_ADJ_OVERRIDABLE", "BETA_OVERRIDE_START_DT", _xll.BADDPERIODS(_xll.BTODAY(),"NUMBEROFPERIODS=-1","PER=Y"), "BETA_OVERRIDE_END_DT", _xll.BTODAY(), K$4, "BETA_OVERRIDE_PERIOD=D")</f>
        <v>0.7850169423058222</v>
      </c>
      <c r="L9" s="1" cm="1">
        <f t="array" ref="L9">_xll.BDP($A9, "BETA_ADJ_OVERRIDABLE", "BETA_OVERRIDE_START_DT", _xll.BADDPERIODS(_xll.BTODAY(),"NUMBEROFPERIODS=-1","PER=Y"), "BETA_OVERRIDE_END_DT", _xll.BTODAY(), L$4, "BETA_OVERRIDE_PERIOD=D")</f>
        <v>0.72633739373949502</v>
      </c>
      <c r="M9" s="1" cm="1">
        <f t="array" ref="M9">_xll.BDP($A9, "BETA_ADJ_OVERRIDABLE", "BETA_OVERRIDE_START_DT", _xll.BADDPERIODS(_xll.BTODAY(),"NUMBEROFPERIODS=-1","PER=Y"), "BETA_OVERRIDE_END_DT", _xll.BTODAY(), M$4, "BETA_OVERRIDE_PERIOD=D")</f>
        <v>0.917268948407164</v>
      </c>
      <c r="N9" s="1" cm="1">
        <f t="array" ref="N9">_xll.BDP($A9, "BETA_ADJ_OVERRIDABLE", "BETA_OVERRIDE_START_DT", _xll.BADDPERIODS(_xll.BTODAY(),"NUMBEROFPERIODS=-1","PER=Y"), "BETA_OVERRIDE_END_DT", _xll.BTODAY(), N$4, "BETA_OVERRIDE_PERIOD=D")</f>
        <v>1.1145097017147125</v>
      </c>
      <c r="O9" s="1" cm="1">
        <f t="array" ref="O9">_xll.BDP($A9, "BETA_ADJ_OVERRIDABLE", "BETA_OVERRIDE_START_DT", _xll.BADDPERIODS(_xll.BTODAY(),"NUMBEROFPERIODS=-1","PER=Y"), "BETA_OVERRIDE_END_DT", _xll.BTODAY(), O$4, "BETA_OVERRIDE_PERIOD=D")</f>
        <v>0.5040428425738116</v>
      </c>
      <c r="P9" s="1" cm="1">
        <f t="array" ref="P9">_xll.BDP($A9, "BETA_ADJ_OVERRIDABLE", "BETA_OVERRIDE_START_DT", _xll.BADDPERIODS(_xll.BTODAY(),"NUMBEROFPERIODS=-1","PER=Y"), "BETA_OVERRIDE_END_DT", _xll.BTODAY(), P$4, "BETA_OVERRIDE_PERIOD=D")</f>
        <v>0.34515618681302662</v>
      </c>
      <c r="Q9" s="1" cm="1">
        <f t="array" ref="Q9">_xll.BDP($A9, "BETA_ADJ_OVERRIDABLE", "BETA_OVERRIDE_START_DT", _xll.BADDPERIODS(_xll.BTODAY(),"NUMBEROFPERIODS=-1","PER=Y"), "BETA_OVERRIDE_END_DT", _xll.BTODAY(), Q$4, "BETA_OVERRIDE_PERIOD=D")</f>
        <v>0.21005167152613516</v>
      </c>
      <c r="R9" s="1" cm="1">
        <f t="array" ref="R9">_xll.BDP($A9, "BETA_ADJ_OVERRIDABLE", "BETA_OVERRIDE_START_DT", _xll.BADDPERIODS(_xll.BTODAY(),"NUMBEROFPERIODS=-1","PER=Y"), "BETA_OVERRIDE_END_DT", _xll.BTODAY(), R$4, "BETA_OVERRIDE_PERIOD=D")</f>
        <v>0.8237406818002404</v>
      </c>
      <c r="S9" s="1" cm="1">
        <f t="array" ref="S9">_xll.BDP($A9, "BETA_ADJ_OVERRIDABLE", "BETA_OVERRIDE_START_DT", _xll.BADDPERIODS(_xll.BTODAY(),"NUMBEROFPERIODS=-1","PER=Y"), "BETA_OVERRIDE_END_DT", _xll.BTODAY(), S$4, "BETA_OVERRIDE_PERIOD=D")</f>
        <v>3.0880914589507369</v>
      </c>
      <c r="T9" s="1" cm="1">
        <f t="array" ref="T9">_xll.BDP($A9, "BETA_ADJ_OVERRIDABLE", "BETA_OVERRIDE_START_DT", _xll.BADDPERIODS(_xll.BTODAY(),"NUMBEROFPERIODS=-1","PER=Y"), "BETA_OVERRIDE_END_DT", _xll.BTODAY(), T$4, "BETA_OVERRIDE_PERIOD=D")</f>
        <v>0.79499680005114437</v>
      </c>
      <c r="U9" s="1" cm="1">
        <f t="array" ref="U9">_xll.BDP($A9, "BETA_ADJ_OVERRIDABLE", "BETA_OVERRIDE_START_DT", _xll.BADDPERIODS(_xll.BTODAY(),"NUMBEROFPERIODS=-1","PER=Y"), "BETA_OVERRIDE_END_DT", _xll.BTODAY(), U$4, "BETA_OVERRIDE_PERIOD=D")</f>
        <v>1.1605562585202374</v>
      </c>
      <c r="V9" s="1" cm="1">
        <f t="array" ref="V9">_xll.BDP($A9, "BETA_ADJ_OVERRIDABLE", "BETA_OVERRIDE_START_DT", _xll.BADDPERIODS(_xll.BTODAY(),"NUMBEROFPERIODS=-1","PER=Y"), "BETA_OVERRIDE_END_DT", _xll.BTODAY(), V$4, "BETA_OVERRIDE_PERIOD=D")</f>
        <v>0.41862570371820435</v>
      </c>
      <c r="W9" s="1" cm="1">
        <f t="array" ref="W9">_xll.BDP($A9, "BETA_ADJ_OVERRIDABLE", "BETA_OVERRIDE_START_DT", _xll.BADDPERIODS(_xll.BTODAY(),"NUMBEROFPERIODS=-1","PER=Y"), "BETA_OVERRIDE_END_DT", _xll.BTODAY(), W$4, "BETA_OVERRIDE_PERIOD=D")</f>
        <v>0.34515618681302662</v>
      </c>
      <c r="X9" s="1" cm="1">
        <f t="array" ref="X9">_xll.BDP($A9, "BETA_ADJ_OVERRIDABLE", "BETA_OVERRIDE_START_DT", _xll.BADDPERIODS(_xll.BTODAY(),"NUMBEROFPERIODS=-1","PER=Y"), "BETA_OVERRIDE_END_DT", _xll.BTODAY(), X$4, "BETA_OVERRIDE_PERIOD=D")</f>
        <v>0.40681290201052683</v>
      </c>
      <c r="Y9" s="1" cm="1">
        <f t="array" ref="Y9">_xll.BDP($A9, "BETA_ADJ_OVERRIDABLE", "BETA_OVERRIDE_START_DT", _xll.BADDPERIODS(_xll.BTODAY(),"NUMBEROFPERIODS=-1","PER=Y"), "BETA_OVERRIDE_END_DT", _xll.BTODAY(), Y$4, "BETA_OVERRIDE_PERIOD=D")</f>
        <v>0.4253251578343194</v>
      </c>
      <c r="Z9" s="1" cm="1">
        <f t="array" ref="Z9">_xll.BDP($A9, "BETA_ADJ_OVERRIDABLE", "BETA_OVERRIDE_START_DT", _xll.BADDPERIODS(_xll.BTODAY(),"NUMBEROFPERIODS=-1","PER=Y"), "BETA_OVERRIDE_END_DT", _xll.BTODAY(), Z$4, "BETA_OVERRIDE_PERIOD=D")</f>
        <v>0.52893045755494927</v>
      </c>
      <c r="AA9" s="1" cm="1">
        <f t="array" ref="AA9">_xll.BDP($A9, "BETA_ADJ_OVERRIDABLE", "BETA_OVERRIDE_START_DT", _xll.BADDPERIODS(_xll.BTODAY(),"NUMBEROFPERIODS=-1","PER=Y"), "BETA_OVERRIDE_END_DT", _xll.BTODAY(), AA$4, "BETA_OVERRIDE_PERIOD=D")</f>
        <v>0.49630624691550607</v>
      </c>
      <c r="AB9" s="1" cm="1">
        <f t="array" ref="AB9">_xll.BDP($A9, "BETA_ADJ_OVERRIDABLE", "BETA_OVERRIDE_START_DT", _xll.BADDPERIODS(_xll.BTODAY(),"NUMBEROFPERIODS=-1","PER=Y"), "BETA_OVERRIDE_END_DT", _xll.BTODAY(), AB$4, "BETA_OVERRIDE_PERIOD=D")</f>
        <v>0.83934327752490812</v>
      </c>
      <c r="AC9" s="1" cm="1">
        <f t="array" ref="AC9">_xll.BDP($A9, "BETA_ADJ_OVERRIDABLE", "BETA_OVERRIDE_START_DT", _xll.BADDPERIODS(_xll.BTODAY(),"NUMBEROFPERIODS=-1","PER=Y"), "BETA_OVERRIDE_END_DT", _xll.BTODAY(), AC$4, "BETA_OVERRIDE_PERIOD=D")</f>
        <v>0.6706520332848509</v>
      </c>
      <c r="AD9" s="1" cm="1">
        <f t="array" ref="AD9">_xll.BDP($A9, "BETA_ADJ_OVERRIDABLE", "BETA_OVERRIDE_START_DT", _xll.BADDPERIODS(_xll.BTODAY(),"NUMBEROFPERIODS=-1","PER=Y"), "BETA_OVERRIDE_END_DT", _xll.BTODAY(), AD$4, "BETA_OVERRIDE_PERIOD=D")</f>
        <v>-6.5440482357487673E-2</v>
      </c>
      <c r="AE9" s="1" cm="1">
        <f t="array" ref="AE9">_xll.BDP($A9, "BETA_ADJ_OVERRIDABLE", "BETA_OVERRIDE_START_DT", _xll.BADDPERIODS(_xll.BTODAY(),"NUMBEROFPERIODS=-1","PER=Y"), "BETA_OVERRIDE_END_DT", _xll.BTODAY(), AE$4, "BETA_OVERRIDE_PERIOD=D")</f>
        <v>0.64231580649970765</v>
      </c>
      <c r="AF9" s="1" cm="1">
        <f t="array" ref="AF9">_xll.BDP($A9, "BETA_ADJ_OVERRIDABLE", "BETA_OVERRIDE_START_DT", _xll.BADDPERIODS(_xll.BTODAY(),"NUMBEROFPERIODS=-1","PER=Y"), "BETA_OVERRIDE_END_DT", _xll.BTODAY(), AF$4, "BETA_OVERRIDE_PERIOD=D")</f>
        <v>0.4194068598237507</v>
      </c>
      <c r="AG9" s="1" cm="1">
        <f t="array" ref="AG9">_xll.BDP($A9, "BETA_ADJ_OVERRIDABLE", "BETA_OVERRIDE_START_DT", _xll.BADDPERIODS(_xll.BTODAY(),"NUMBEROFPERIODS=-1","PER=Y"), "BETA_OVERRIDE_END_DT", _xll.BTODAY(), AG$4, "BETA_OVERRIDE_PERIOD=D")</f>
        <v>1.0404038449058628</v>
      </c>
      <c r="AH9" s="1" cm="1">
        <f t="array" ref="AH9">_xll.BDP($A9, "BETA_ADJ_OVERRIDABLE", "BETA_OVERRIDE_START_DT", _xll.BADDPERIODS(_xll.BTODAY(),"NUMBEROFPERIODS=-1","PER=Y"), "BETA_OVERRIDE_END_DT", _xll.BTODAY(), AH$4, "BETA_OVERRIDE_PERIOD=D")</f>
        <v>-1.8416543646541998</v>
      </c>
      <c r="AI9" s="1" cm="1">
        <f t="array" ref="AI9">_xll.BDP($A9, "BETA_ADJ_OVERRIDABLE", "BETA_OVERRIDE_START_DT", _xll.BADDPERIODS(_xll.BTODAY(),"NUMBEROFPERIODS=-1","PER=Y"), "BETA_OVERRIDE_END_DT", _xll.BTODAY(), AI$4, "BETA_OVERRIDE_PERIOD=D")</f>
        <v>0.44028630827683951</v>
      </c>
      <c r="AJ9" s="1" cm="1">
        <f t="array" ref="AJ9">_xll.BDP($A9, "BETA_ADJ_OVERRIDABLE", "BETA_OVERRIDE_START_DT", _xll.BADDPERIODS(_xll.BTODAY(),"NUMBEROFPERIODS=-1","PER=Y"), "BETA_OVERRIDE_END_DT", _xll.BTODAY(), AJ$4, "BETA_OVERRIDE_PERIOD=D")</f>
        <v>0.45787157741894785</v>
      </c>
      <c r="AK9" s="1" cm="1">
        <f t="array" ref="AK9">_xll.BDP($A9, "BETA_ADJ_OVERRIDABLE", "BETA_OVERRIDE_START_DT", _xll.BADDPERIODS(_xll.BTODAY(),"NUMBEROFPERIODS=-1","PER=Y"), "BETA_OVERRIDE_END_DT", _xll.BTODAY(), AK$4, "BETA_OVERRIDE_PERIOD=D")</f>
        <v>0.42156341473330416</v>
      </c>
      <c r="AL9" s="1" cm="1">
        <f t="array" ref="AL9">_xll.BDP($A9, "BETA_ADJ_OVERRIDABLE", "BETA_OVERRIDE_START_DT", _xll.BADDPERIODS(_xll.BTODAY(),"NUMBEROFPERIODS=-1","PER=Y"), "BETA_OVERRIDE_END_DT", _xll.BTODAY(), AL$4, "BETA_OVERRIDE_PERIOD=D")</f>
        <v>0.43909681909294929</v>
      </c>
      <c r="AM9" s="1" cm="1">
        <f t="array" ref="AM9">_xll.BDP($A9, "BETA_ADJ_OVERRIDABLE", "BETA_OVERRIDE_START_DT", _xll.BADDPERIODS(_xll.BTODAY(),"NUMBEROFPERIODS=-1","PER=Y"), "BETA_OVERRIDE_END_DT", _xll.BTODAY(), AM$4, "BETA_OVERRIDE_PERIOD=D")</f>
        <v>0.76707707161484073</v>
      </c>
      <c r="AN9" s="1" cm="1">
        <f t="array" ref="AN9">_xll.BDP($A9, "BETA_ADJ_OVERRIDABLE", "BETA_OVERRIDE_START_DT", _xll.BADDPERIODS(_xll.BTODAY(),"NUMBEROFPERIODS=-1","PER=Y"), "BETA_OVERRIDE_END_DT", _xll.BTODAY(), AN$4, "BETA_OVERRIDE_PERIOD=D")</f>
        <v>0.93090347068919144</v>
      </c>
      <c r="AO9" s="1" cm="1">
        <f t="array" ref="AO9">_xll.BDP($A9, "BETA_ADJ_OVERRIDABLE", "BETA_OVERRIDE_START_DT", _xll.BADDPERIODS(_xll.BTODAY(),"NUMBEROFPERIODS=-1","PER=Y"), "BETA_OVERRIDE_END_DT", _xll.BTODAY(), AO$4, "BETA_OVERRIDE_PERIOD=D")</f>
        <v>0.80964469653371496</v>
      </c>
    </row>
    <row r="10" spans="1:41" x14ac:dyDescent="0.25">
      <c r="A10" t="s">
        <v>47</v>
      </c>
      <c r="B10" s="1" cm="1">
        <f t="array" ref="B10">_xll.BDP($A10, B$4)</f>
        <v>0.87858000000000003</v>
      </c>
      <c r="C10" s="1" cm="1">
        <f t="array" ref="C10">_xll.BDP($A10, C$4)</f>
        <v>17.310510000000001</v>
      </c>
      <c r="D10" s="1" cm="1">
        <f t="array" ref="D10">_xll.BDP($A10, "BETA_ADJ_OVERRIDABLE", "BETA_OVERRIDE_START_DT", _xll.BADDPERIODS(_xll.BTODAY(),"NUMBEROFPERIODS=-5","PER=Y"), "BETA_OVERRIDE_END_DT", _xll.BTODAY(), D$4, "BETA_OVERRIDE_PERIOD=M")</f>
        <v>0.93270180000000003</v>
      </c>
      <c r="E10" s="1" cm="1">
        <f t="array" ref="E10">_xll.BDP($A10, "BETA_ADJ_OVERRIDABLE", "BETA_OVERRIDE_START_DT", _xll.BADDPERIODS(_xll.BTODAY(),"NUMBEROFPERIODS=-3","PER=Y"), "BETA_OVERRIDE_END_DT", _xll.BTODAY(), E$4, "BETA_OVERRIDE_PERIOD=W")</f>
        <v>0.85018099999999996</v>
      </c>
      <c r="F10" s="1" cm="1">
        <f t="array" ref="F10">_xll.BDP($A10, "BETA_ADJ_OVERRIDABLE", "BETA_OVERRIDE_START_DT", _xll.BADDPERIODS(_xll.BTODAY(),"NUMBEROFPERIODS=-1","PER=Y"), "BETA_OVERRIDE_END_DT", _xll.BTODAY(), F$4, "BETA_OVERRIDE_PERIOD=D")</f>
        <v>0.80740230000000002</v>
      </c>
      <c r="G10" s="1" cm="1">
        <f t="array" ref="G10">_xll.BDP($A10, "BETA_ADJ_OVERRIDABLE", "BETA_OVERRIDE_START_DT", _xll.BADDPERIODS(_xll.BTODAY(),"NUMBEROFPERIODS=-1","PER=Y"), "BETA_OVERRIDE_END_DT", _xll.BTODAY(), G$4, "BETA_OVERRIDE_PERIOD=D")</f>
        <v>0.7919214</v>
      </c>
      <c r="H10" s="1" cm="1">
        <f t="array" ref="H10">_xll.BDP($A10, "BETA_ADJ_OVERRIDABLE", "BETA_OVERRIDE_START_DT", _xll.BADDPERIODS(_xll.BTODAY(),"NUMBEROFPERIODS=-1","PER=Y"), "BETA_OVERRIDE_END_DT", _xll.BTODAY(), H$4, "BETA_OVERRIDE_PERIOD=D")</f>
        <v>0.73062110000000002</v>
      </c>
      <c r="I10" s="1" cm="1">
        <f t="array" ref="I10">_xll.BDP($A10, "BETA_ADJ_OVERRIDABLE", "BETA_OVERRIDE_START_DT", _xll.BADDPERIODS(_xll.BTODAY(),"NUMBEROFPERIODS=-1","PER=Y"), "BETA_OVERRIDE_END_DT", _xll.BTODAY(), I$4, "BETA_OVERRIDE_PERIOD=D")</f>
        <v>0.65170289999999997</v>
      </c>
      <c r="J10" s="1" cm="1">
        <f t="array" ref="J10">_xll.BDP($A10, "BETA_ADJ_OVERRIDABLE", "BETA_OVERRIDE_START_DT", _xll.BADDPERIODS(_xll.BTODAY(),"NUMBEROFPERIODS=-1","PER=Y"), "BETA_OVERRIDE_END_DT", _xll.BTODAY(), J$4, "BETA_OVERRIDE_PERIOD=D")</f>
        <v>0.98742859999999999</v>
      </c>
      <c r="K10" s="1" cm="1">
        <f t="array" ref="K10">_xll.BDP($A10, "BETA_ADJ_OVERRIDABLE", "BETA_OVERRIDE_START_DT", _xll.BADDPERIODS(_xll.BTODAY(),"NUMBEROFPERIODS=-1","PER=Y"), "BETA_OVERRIDE_END_DT", _xll.BTODAY(), K$4, "BETA_OVERRIDE_PERIOD=D")</f>
        <v>0.64281469999999996</v>
      </c>
      <c r="L10" s="1" cm="1">
        <f t="array" ref="L10">_xll.BDP($A10, "BETA_ADJ_OVERRIDABLE", "BETA_OVERRIDE_START_DT", _xll.BADDPERIODS(_xll.BTODAY(),"NUMBEROFPERIODS=-1","PER=Y"), "BETA_OVERRIDE_END_DT", _xll.BTODAY(), L$4, "BETA_OVERRIDE_PERIOD=D")</f>
        <v>0.43266739999999998</v>
      </c>
      <c r="M10" s="1" cm="1">
        <f t="array" ref="M10">_xll.BDP($A10, "BETA_ADJ_OVERRIDABLE", "BETA_OVERRIDE_START_DT", _xll.BADDPERIODS(_xll.BTODAY(),"NUMBEROFPERIODS=-1","PER=Y"), "BETA_OVERRIDE_END_DT", _xll.BTODAY(), M$4, "BETA_OVERRIDE_PERIOD=D")</f>
        <v>0.39439580000000002</v>
      </c>
      <c r="N10" s="1" cm="1">
        <f t="array" ref="N10">_xll.BDP($A10, "BETA_ADJ_OVERRIDABLE", "BETA_OVERRIDE_START_DT", _xll.BADDPERIODS(_xll.BTODAY(),"NUMBEROFPERIODS=-1","PER=Y"), "BETA_OVERRIDE_END_DT", _xll.BTODAY(), N$4, "BETA_OVERRIDE_PERIOD=D")</f>
        <v>0.91648609999999997</v>
      </c>
      <c r="O10" s="1" cm="1">
        <f t="array" ref="O10">_xll.BDP($A10, "BETA_ADJ_OVERRIDABLE", "BETA_OVERRIDE_START_DT", _xll.BADDPERIODS(_xll.BTODAY(),"NUMBEROFPERIODS=-1","PER=Y"), "BETA_OVERRIDE_END_DT", _xll.BTODAY(), O$4, "BETA_OVERRIDE_PERIOD=D")</f>
        <v>0.43083660000000001</v>
      </c>
      <c r="P10" s="1" cm="1">
        <f t="array" ref="P10">_xll.BDP($A10, "BETA_ADJ_OVERRIDABLE", "BETA_OVERRIDE_START_DT", _xll.BADDPERIODS(_xll.BTODAY(),"NUMBEROFPERIODS=-1","PER=Y"), "BETA_OVERRIDE_END_DT", _xll.BTODAY(), P$4, "BETA_OVERRIDE_PERIOD=D")</f>
        <v>0.30463459999999998</v>
      </c>
      <c r="Q10" s="1" cm="1">
        <f t="array" ref="Q10">_xll.BDP($A10, "BETA_ADJ_OVERRIDABLE", "BETA_OVERRIDE_START_DT", _xll.BADDPERIODS(_xll.BTODAY(),"NUMBEROFPERIODS=-1","PER=Y"), "BETA_OVERRIDE_END_DT", _xll.BTODAY(), Q$4, "BETA_OVERRIDE_PERIOD=D")</f>
        <v>0.45155960000000001</v>
      </c>
      <c r="R10" s="1" cm="1">
        <f t="array" ref="R10">_xll.BDP($A10, "BETA_ADJ_OVERRIDABLE", "BETA_OVERRIDE_START_DT", _xll.BADDPERIODS(_xll.BTODAY(),"NUMBEROFPERIODS=-1","PER=Y"), "BETA_OVERRIDE_END_DT", _xll.BTODAY(), R$4, "BETA_OVERRIDE_PERIOD=D")</f>
        <v>0.86478440000000001</v>
      </c>
      <c r="S10" s="1" cm="1">
        <f t="array" ref="S10">_xll.BDP($A10, "BETA_ADJ_OVERRIDABLE", "BETA_OVERRIDE_START_DT", _xll.BADDPERIODS(_xll.BTODAY(),"NUMBEROFPERIODS=-1","PER=Y"), "BETA_OVERRIDE_END_DT", _xll.BTODAY(), S$4, "BETA_OVERRIDE_PERIOD=D")</f>
        <v>2.4551120000000002</v>
      </c>
      <c r="T10" s="1" cm="1">
        <f t="array" ref="T10">_xll.BDP($A10, "BETA_ADJ_OVERRIDABLE", "BETA_OVERRIDE_START_DT", _xll.BADDPERIODS(_xll.BTODAY(),"NUMBEROFPERIODS=-1","PER=Y"), "BETA_OVERRIDE_END_DT", _xll.BTODAY(), T$4, "BETA_OVERRIDE_PERIOD=D")</f>
        <v>0.35281000000000001</v>
      </c>
      <c r="U10" s="1" cm="1">
        <f t="array" ref="U10">_xll.BDP($A10, "BETA_ADJ_OVERRIDABLE", "BETA_OVERRIDE_START_DT", _xll.BADDPERIODS(_xll.BTODAY(),"NUMBEROFPERIODS=-1","PER=Y"), "BETA_OVERRIDE_END_DT", _xll.BTODAY(), U$4, "BETA_OVERRIDE_PERIOD=D")</f>
        <v>0.78824609999999995</v>
      </c>
      <c r="V10" s="1" cm="1">
        <f t="array" ref="V10">_xll.BDP($A10, "BETA_ADJ_OVERRIDABLE", "BETA_OVERRIDE_START_DT", _xll.BADDPERIODS(_xll.BTODAY(),"NUMBEROFPERIODS=-1","PER=Y"), "BETA_OVERRIDE_END_DT", _xll.BTODAY(), V$4, "BETA_OVERRIDE_PERIOD=D")</f>
        <v>0.87195040000000001</v>
      </c>
      <c r="W10" s="1" cm="1">
        <f t="array" ref="W10">_xll.BDP($A10, "BETA_ADJ_OVERRIDABLE", "BETA_OVERRIDE_START_DT", _xll.BADDPERIODS(_xll.BTODAY(),"NUMBEROFPERIODS=-1","PER=Y"), "BETA_OVERRIDE_END_DT", _xll.BTODAY(), W$4, "BETA_OVERRIDE_PERIOD=D")</f>
        <v>0.30463459999999998</v>
      </c>
      <c r="X10" s="1" cm="1">
        <f t="array" ref="X10">_xll.BDP($A10, "BETA_ADJ_OVERRIDABLE", "BETA_OVERRIDE_START_DT", _xll.BADDPERIODS(_xll.BTODAY(),"NUMBEROFPERIODS=-1","PER=Y"), "BETA_OVERRIDE_END_DT", _xll.BTODAY(), X$4, "BETA_OVERRIDE_PERIOD=D")</f>
        <v>0.39939809999999998</v>
      </c>
      <c r="Y10" s="1" cm="1">
        <f t="array" ref="Y10">_xll.BDP($A10, "BETA_ADJ_OVERRIDABLE", "BETA_OVERRIDE_START_DT", _xll.BADDPERIODS(_xll.BTODAY(),"NUMBEROFPERIODS=-1","PER=Y"), "BETA_OVERRIDE_END_DT", _xll.BTODAY(), Y$4, "BETA_OVERRIDE_PERIOD=D")</f>
        <v>0.4057788</v>
      </c>
      <c r="Z10" s="1" cm="1">
        <f t="array" ref="Z10">_xll.BDP($A10, "BETA_ADJ_OVERRIDABLE", "BETA_OVERRIDE_START_DT", _xll.BADDPERIODS(_xll.BTODAY(),"NUMBEROFPERIODS=-1","PER=Y"), "BETA_OVERRIDE_END_DT", _xll.BTODAY(), Z$4, "BETA_OVERRIDE_PERIOD=D")</f>
        <v>0.33893689999999999</v>
      </c>
      <c r="AA10" s="1" cm="1">
        <f t="array" ref="AA10">_xll.BDP($A10, "BETA_ADJ_OVERRIDABLE", "BETA_OVERRIDE_START_DT", _xll.BADDPERIODS(_xll.BTODAY(),"NUMBEROFPERIODS=-1","PER=Y"), "BETA_OVERRIDE_END_DT", _xll.BTODAY(), AA$4, "BETA_OVERRIDE_PERIOD=D")</f>
        <v>0.38374459999999999</v>
      </c>
      <c r="AB10" s="1" cm="1">
        <f t="array" ref="AB10">_xll.BDP($A10, "BETA_ADJ_OVERRIDABLE", "BETA_OVERRIDE_START_DT", _xll.BADDPERIODS(_xll.BTODAY(),"NUMBEROFPERIODS=-1","PER=Y"), "BETA_OVERRIDE_END_DT", _xll.BTODAY(), AB$4, "BETA_OVERRIDE_PERIOD=D")</f>
        <v>0.55115570000000003</v>
      </c>
      <c r="AC10" s="1" cm="1">
        <f t="array" ref="AC10">_xll.BDP($A10, "BETA_ADJ_OVERRIDABLE", "BETA_OVERRIDE_START_DT", _xll.BADDPERIODS(_xll.BTODAY(),"NUMBEROFPERIODS=-1","PER=Y"), "BETA_OVERRIDE_END_DT", _xll.BTODAY(), AC$4, "BETA_OVERRIDE_PERIOD=D")</f>
        <v>0.4789292</v>
      </c>
      <c r="AD10" s="1" cm="1">
        <f t="array" ref="AD10">_xll.BDP($A10, "BETA_ADJ_OVERRIDABLE", "BETA_OVERRIDE_START_DT", _xll.BADDPERIODS(_xll.BTODAY(),"NUMBEROFPERIODS=-1","PER=Y"), "BETA_OVERRIDE_END_DT", _xll.BTODAY(), AD$4, "BETA_OVERRIDE_PERIOD=D")</f>
        <v>0.40754390000000001</v>
      </c>
      <c r="AE10" s="1" cm="1">
        <f t="array" ref="AE10">_xll.BDP($A10, "BETA_ADJ_OVERRIDABLE", "BETA_OVERRIDE_START_DT", _xll.BADDPERIODS(_xll.BTODAY(),"NUMBEROFPERIODS=-1","PER=Y"), "BETA_OVERRIDE_END_DT", _xll.BTODAY(), AE$4, "BETA_OVERRIDE_PERIOD=D")</f>
        <v>0.21698619999999999</v>
      </c>
      <c r="AF10" s="1" cm="1">
        <f t="array" ref="AF10">_xll.BDP($A10, "BETA_ADJ_OVERRIDABLE", "BETA_OVERRIDE_START_DT", _xll.BADDPERIODS(_xll.BTODAY(),"NUMBEROFPERIODS=-1","PER=Y"), "BETA_OVERRIDE_END_DT", _xll.BTODAY(), AF$4, "BETA_OVERRIDE_PERIOD=D")</f>
        <v>0.487344</v>
      </c>
      <c r="AG10" s="1" cm="1">
        <f t="array" ref="AG10">_xll.BDP($A10, "BETA_ADJ_OVERRIDABLE", "BETA_OVERRIDE_START_DT", _xll.BADDPERIODS(_xll.BTODAY(),"NUMBEROFPERIODS=-1","PER=Y"), "BETA_OVERRIDE_END_DT", _xll.BTODAY(), AG$4, "BETA_OVERRIDE_PERIOD=D")</f>
        <v>0.4886779</v>
      </c>
      <c r="AH10" s="1" cm="1">
        <f t="array" ref="AH10">_xll.BDP($A10, "BETA_ADJ_OVERRIDABLE", "BETA_OVERRIDE_START_DT", _xll.BADDPERIODS(_xll.BTODAY(),"NUMBEROFPERIODS=-1","PER=Y"), "BETA_OVERRIDE_END_DT", _xll.BTODAY(), AH$4, "BETA_OVERRIDE_PERIOD=D")</f>
        <v>0.34713709999999998</v>
      </c>
      <c r="AI10" s="1" cm="1">
        <f t="array" ref="AI10">_xll.BDP($A10, "BETA_ADJ_OVERRIDABLE", "BETA_OVERRIDE_START_DT", _xll.BADDPERIODS(_xll.BTODAY(),"NUMBEROFPERIODS=-1","PER=Y"), "BETA_OVERRIDE_END_DT", _xll.BTODAY(), AI$4, "BETA_OVERRIDE_PERIOD=D")</f>
        <v>0.25520120000000002</v>
      </c>
      <c r="AJ10" s="1" cm="1">
        <f t="array" ref="AJ10">_xll.BDP($A10, "BETA_ADJ_OVERRIDABLE", "BETA_OVERRIDE_START_DT", _xll.BADDPERIODS(_xll.BTODAY(),"NUMBEROFPERIODS=-1","PER=Y"), "BETA_OVERRIDE_END_DT", _xll.BTODAY(), AJ$4, "BETA_OVERRIDE_PERIOD=D")</f>
        <v>0.43151719999999999</v>
      </c>
      <c r="AK10" s="1" cm="1">
        <f t="array" ref="AK10">_xll.BDP($A10, "BETA_ADJ_OVERRIDABLE", "BETA_OVERRIDE_START_DT", _xll.BADDPERIODS(_xll.BTODAY(),"NUMBEROFPERIODS=-1","PER=Y"), "BETA_OVERRIDE_END_DT", _xll.BTODAY(), AK$4, "BETA_OVERRIDE_PERIOD=D")</f>
        <v>0.3921579</v>
      </c>
      <c r="AL10" s="1" cm="1">
        <f t="array" ref="AL10">_xll.BDP($A10, "BETA_ADJ_OVERRIDABLE", "BETA_OVERRIDE_START_DT", _xll.BADDPERIODS(_xll.BTODAY(),"NUMBEROFPERIODS=-1","PER=Y"), "BETA_OVERRIDE_END_DT", _xll.BTODAY(), AL$4, "BETA_OVERRIDE_PERIOD=D")</f>
        <v>0.40356609999999998</v>
      </c>
      <c r="AM10" s="1" cm="1">
        <f t="array" ref="AM10">_xll.BDP($A10, "BETA_ADJ_OVERRIDABLE", "BETA_OVERRIDE_START_DT", _xll.BADDPERIODS(_xll.BTODAY(),"NUMBEROFPERIODS=-1","PER=Y"), "BETA_OVERRIDE_END_DT", _xll.BTODAY(), AM$4, "BETA_OVERRIDE_PERIOD=D")</f>
        <v>0.79657210000000001</v>
      </c>
      <c r="AN10" s="1" cm="1">
        <f t="array" ref="AN10">_xll.BDP($A10, "BETA_ADJ_OVERRIDABLE", "BETA_OVERRIDE_START_DT", _xll.BADDPERIODS(_xll.BTODAY(),"NUMBEROFPERIODS=-1","PER=Y"), "BETA_OVERRIDE_END_DT", _xll.BTODAY(), AN$4, "BETA_OVERRIDE_PERIOD=D")</f>
        <v>0.88344900000000004</v>
      </c>
      <c r="AO10" s="1" cm="1">
        <f t="array" ref="AO10">_xll.BDP($A10, "BETA_ADJ_OVERRIDABLE", "BETA_OVERRIDE_START_DT", _xll.BADDPERIODS(_xll.BTODAY(),"NUMBEROFPERIODS=-1","PER=Y"), "BETA_OVERRIDE_END_DT", _xll.BTODAY(), AO$4, "BETA_OVERRIDE_PERIOD=D")</f>
        <v>0.85055570000000003</v>
      </c>
    </row>
    <row r="11" spans="1:41" x14ac:dyDescent="0.25">
      <c r="A11" t="s">
        <v>48</v>
      </c>
      <c r="B11" s="1" cm="1">
        <f t="array" ref="B11">_xll.BDP($A11, B$4)</f>
        <v>0.89190700000000001</v>
      </c>
      <c r="C11" s="1" cm="1">
        <f t="array" ref="C11">_xll.BDP($A11, C$4)</f>
        <v>23.480730000000001</v>
      </c>
      <c r="D11" s="1" cm="1">
        <f t="array" ref="D11">_xll.BDP($A11, "BETA_ADJ_OVERRIDABLE", "BETA_OVERRIDE_START_DT", _xll.BADDPERIODS(_xll.BTODAY(),"NUMBEROFPERIODS=-5","PER=Y"), "BETA_OVERRIDE_END_DT", _xll.BTODAY(), D$4, "BETA_OVERRIDE_PERIOD=M")</f>
        <v>1.073215</v>
      </c>
      <c r="E11" s="1" cm="1">
        <f t="array" ref="E11">_xll.BDP($A11, "BETA_ADJ_OVERRIDABLE", "BETA_OVERRIDE_START_DT", _xll.BADDPERIODS(_xll.BTODAY(),"NUMBEROFPERIODS=-3","PER=Y"), "BETA_OVERRIDE_END_DT", _xll.BTODAY(), E$4, "BETA_OVERRIDE_PERIOD=W")</f>
        <v>1.0341610000000001</v>
      </c>
      <c r="F11" s="1" cm="1">
        <f t="array" ref="F11">_xll.BDP($A11, "BETA_ADJ_OVERRIDABLE", "BETA_OVERRIDE_START_DT", _xll.BADDPERIODS(_xll.BTODAY(),"NUMBEROFPERIODS=-1","PER=Y"), "BETA_OVERRIDE_END_DT", _xll.BTODAY(), F$4, "BETA_OVERRIDE_PERIOD=D")</f>
        <v>1.0324580000000001</v>
      </c>
      <c r="G11" s="1" cm="1">
        <f t="array" ref="G11">_xll.BDP($A11, "BETA_ADJ_OVERRIDABLE", "BETA_OVERRIDE_START_DT", _xll.BADDPERIODS(_xll.BTODAY(),"NUMBEROFPERIODS=-1","PER=Y"), "BETA_OVERRIDE_END_DT", _xll.BTODAY(), G$4, "BETA_OVERRIDE_PERIOD=D")</f>
        <v>0.99973710000000005</v>
      </c>
      <c r="H11" s="1" cm="1">
        <f t="array" ref="H11">_xll.BDP($A11, "BETA_ADJ_OVERRIDABLE", "BETA_OVERRIDE_START_DT", _xll.BADDPERIODS(_xll.BTODAY(),"NUMBEROFPERIODS=-1","PER=Y"), "BETA_OVERRIDE_END_DT", _xll.BTODAY(), H$4, "BETA_OVERRIDE_PERIOD=D")</f>
        <v>0.91768660000000002</v>
      </c>
      <c r="I11" s="1" cm="1">
        <f t="array" ref="I11">_xll.BDP($A11, "BETA_ADJ_OVERRIDABLE", "BETA_OVERRIDE_START_DT", _xll.BADDPERIODS(_xll.BTODAY(),"NUMBEROFPERIODS=-1","PER=Y"), "BETA_OVERRIDE_END_DT", _xll.BTODAY(), I$4, "BETA_OVERRIDE_PERIOD=D")</f>
        <v>0.85245249999999995</v>
      </c>
      <c r="J11" s="1" cm="1">
        <f t="array" ref="J11">_xll.BDP($A11, "BETA_ADJ_OVERRIDABLE", "BETA_OVERRIDE_START_DT", _xll.BADDPERIODS(_xll.BTODAY(),"NUMBEROFPERIODS=-1","PER=Y"), "BETA_OVERRIDE_END_DT", _xll.BTODAY(), J$4, "BETA_OVERRIDE_PERIOD=D")</f>
        <v>1.1679729999999999</v>
      </c>
      <c r="K11" s="1" cm="1">
        <f t="array" ref="K11">_xll.BDP($A11, "BETA_ADJ_OVERRIDABLE", "BETA_OVERRIDE_START_DT", _xll.BADDPERIODS(_xll.BTODAY(),"NUMBEROFPERIODS=-1","PER=Y"), "BETA_OVERRIDE_END_DT", _xll.BTODAY(), K$4, "BETA_OVERRIDE_PERIOD=D")</f>
        <v>0.84563900000000003</v>
      </c>
      <c r="L11" s="1" cm="1">
        <f t="array" ref="L11">_xll.BDP($A11, "BETA_ADJ_OVERRIDABLE", "BETA_OVERRIDE_START_DT", _xll.BADDPERIODS(_xll.BTODAY(),"NUMBEROFPERIODS=-1","PER=Y"), "BETA_OVERRIDE_END_DT", _xll.BTODAY(), L$4, "BETA_OVERRIDE_PERIOD=D")</f>
        <v>0.44410559999999999</v>
      </c>
      <c r="M11" s="1" cm="1">
        <f t="array" ref="M11">_xll.BDP($A11, "BETA_ADJ_OVERRIDABLE", "BETA_OVERRIDE_START_DT", _xll.BADDPERIODS(_xll.BTODAY(),"NUMBEROFPERIODS=-1","PER=Y"), "BETA_OVERRIDE_END_DT", _xll.BTODAY(), M$4, "BETA_OVERRIDE_PERIOD=D")</f>
        <v>0.44482290000000002</v>
      </c>
      <c r="N11" s="1" cm="1">
        <f t="array" ref="N11">_xll.BDP($A11, "BETA_ADJ_OVERRIDABLE", "BETA_OVERRIDE_START_DT", _xll.BADDPERIODS(_xll.BTODAY(),"NUMBEROFPERIODS=-1","PER=Y"), "BETA_OVERRIDE_END_DT", _xll.BTODAY(), N$4, "BETA_OVERRIDE_PERIOD=D")</f>
        <v>1.184553</v>
      </c>
      <c r="O11" s="1" cm="1">
        <f t="array" ref="O11">_xll.BDP($A11, "BETA_ADJ_OVERRIDABLE", "BETA_OVERRIDE_START_DT", _xll.BADDPERIODS(_xll.BTODAY(),"NUMBEROFPERIODS=-1","PER=Y"), "BETA_OVERRIDE_END_DT", _xll.BTODAY(), O$4, "BETA_OVERRIDE_PERIOD=D")</f>
        <v>0.50992280000000001</v>
      </c>
      <c r="P11" s="1" cm="1">
        <f t="array" ref="P11">_xll.BDP($A11, "BETA_ADJ_OVERRIDABLE", "BETA_OVERRIDE_START_DT", _xll.BADDPERIODS(_xll.BTODAY(),"NUMBEROFPERIODS=-1","PER=Y"), "BETA_OVERRIDE_END_DT", _xll.BTODAY(), P$4, "BETA_OVERRIDE_PERIOD=D")</f>
        <v>0.33039249999999998</v>
      </c>
      <c r="Q11" s="1" cm="1">
        <f t="array" ref="Q11">_xll.BDP($A11, "BETA_ADJ_OVERRIDABLE", "BETA_OVERRIDE_START_DT", _xll.BADDPERIODS(_xll.BTODAY(),"NUMBEROFPERIODS=-1","PER=Y"), "BETA_OVERRIDE_END_DT", _xll.BTODAY(), Q$4, "BETA_OVERRIDE_PERIOD=D")</f>
        <v>0.30881639999999999</v>
      </c>
      <c r="R11" s="1" cm="1">
        <f t="array" ref="R11">_xll.BDP($A11, "BETA_ADJ_OVERRIDABLE", "BETA_OVERRIDE_START_DT", _xll.BADDPERIODS(_xll.BTODAY(),"NUMBEROFPERIODS=-1","PER=Y"), "BETA_OVERRIDE_END_DT", _xll.BTODAY(), R$4, "BETA_OVERRIDE_PERIOD=D")</f>
        <v>0.95142329999999997</v>
      </c>
      <c r="S11" s="1" cm="1">
        <f t="array" ref="S11">_xll.BDP($A11, "BETA_ADJ_OVERRIDABLE", "BETA_OVERRIDE_START_DT", _xll.BADDPERIODS(_xll.BTODAY(),"NUMBEROFPERIODS=-1","PER=Y"), "BETA_OVERRIDE_END_DT", _xll.BTODAY(), S$4, "BETA_OVERRIDE_PERIOD=D")</f>
        <v>3.338892</v>
      </c>
      <c r="T11" s="1" cm="1">
        <f t="array" ref="T11">_xll.BDP($A11, "BETA_ADJ_OVERRIDABLE", "BETA_OVERRIDE_START_DT", _xll.BADDPERIODS(_xll.BTODAY(),"NUMBEROFPERIODS=-1","PER=Y"), "BETA_OVERRIDE_END_DT", _xll.BTODAY(), T$4, "BETA_OVERRIDE_PERIOD=D")</f>
        <v>0.22947049999999999</v>
      </c>
      <c r="U11" s="1" cm="1">
        <f t="array" ref="U11">_xll.BDP($A11, "BETA_ADJ_OVERRIDABLE", "BETA_OVERRIDE_START_DT", _xll.BADDPERIODS(_xll.BTODAY(),"NUMBEROFPERIODS=-1","PER=Y"), "BETA_OVERRIDE_END_DT", _xll.BTODAY(), U$4, "BETA_OVERRIDE_PERIOD=D")</f>
        <v>0.93034919999999999</v>
      </c>
      <c r="V11" s="1" cm="1">
        <f t="array" ref="V11">_xll.BDP($A11, "BETA_ADJ_OVERRIDABLE", "BETA_OVERRIDE_START_DT", _xll.BADDPERIODS(_xll.BTODAY(),"NUMBEROFPERIODS=-1","PER=Y"), "BETA_OVERRIDE_END_DT", _xll.BTODAY(), V$4, "BETA_OVERRIDE_PERIOD=D")</f>
        <v>0.79037159999999995</v>
      </c>
      <c r="W11" s="1" cm="1">
        <f t="array" ref="W11">_xll.BDP($A11, "BETA_ADJ_OVERRIDABLE", "BETA_OVERRIDE_START_DT", _xll.BADDPERIODS(_xll.BTODAY(),"NUMBEROFPERIODS=-1","PER=Y"), "BETA_OVERRIDE_END_DT", _xll.BTODAY(), W$4, "BETA_OVERRIDE_PERIOD=D")</f>
        <v>0.33039249999999998</v>
      </c>
      <c r="X11" s="1" cm="1">
        <f t="array" ref="X11">_xll.BDP($A11, "BETA_ADJ_OVERRIDABLE", "BETA_OVERRIDE_START_DT", _xll.BADDPERIODS(_xll.BTODAY(),"NUMBEROFPERIODS=-1","PER=Y"), "BETA_OVERRIDE_END_DT", _xll.BTODAY(), X$4, "BETA_OVERRIDE_PERIOD=D")</f>
        <v>0.42125439999999997</v>
      </c>
      <c r="Y11" s="1" cm="1">
        <f t="array" ref="Y11">_xll.BDP($A11, "BETA_ADJ_OVERRIDABLE", "BETA_OVERRIDE_START_DT", _xll.BADDPERIODS(_xll.BTODAY(),"NUMBEROFPERIODS=-1","PER=Y"), "BETA_OVERRIDE_END_DT", _xll.BTODAY(), Y$4, "BETA_OVERRIDE_PERIOD=D")</f>
        <v>0.43184699999999998</v>
      </c>
      <c r="Z11" s="1" cm="1">
        <f t="array" ref="Z11">_xll.BDP($A11, "BETA_ADJ_OVERRIDABLE", "BETA_OVERRIDE_START_DT", _xll.BADDPERIODS(_xll.BTODAY(),"NUMBEROFPERIODS=-1","PER=Y"), "BETA_OVERRIDE_END_DT", _xll.BTODAY(), Z$4, "BETA_OVERRIDE_PERIOD=D")</f>
        <v>0.34714600000000001</v>
      </c>
      <c r="AA11" s="1" cm="1">
        <f t="array" ref="AA11">_xll.BDP($A11, "BETA_ADJ_OVERRIDABLE", "BETA_OVERRIDE_START_DT", _xll.BADDPERIODS(_xll.BTODAY(),"NUMBEROFPERIODS=-1","PER=Y"), "BETA_OVERRIDE_END_DT", _xll.BTODAY(), AA$4, "BETA_OVERRIDE_PERIOD=D")</f>
        <v>0.39976400000000001</v>
      </c>
      <c r="AB11" s="1" cm="1">
        <f t="array" ref="AB11">_xll.BDP($A11, "BETA_ADJ_OVERRIDABLE", "BETA_OVERRIDE_START_DT", _xll.BADDPERIODS(_xll.BTODAY(),"NUMBEROFPERIODS=-1","PER=Y"), "BETA_OVERRIDE_END_DT", _xll.BTODAY(), AB$4, "BETA_OVERRIDE_PERIOD=D")</f>
        <v>0.62756179999999995</v>
      </c>
      <c r="AC11" s="1" cm="1">
        <f t="array" ref="AC11">_xll.BDP($A11, "BETA_ADJ_OVERRIDABLE", "BETA_OVERRIDE_START_DT", _xll.BADDPERIODS(_xll.BTODAY(),"NUMBEROFPERIODS=-1","PER=Y"), "BETA_OVERRIDE_END_DT", _xll.BTODAY(), AC$4, "BETA_OVERRIDE_PERIOD=D")</f>
        <v>0.54523089999999996</v>
      </c>
      <c r="AD11" s="1" cm="1">
        <f t="array" ref="AD11">_xll.BDP($A11, "BETA_ADJ_OVERRIDABLE", "BETA_OVERRIDE_START_DT", _xll.BADDPERIODS(_xll.BTODAY(),"NUMBEROFPERIODS=-1","PER=Y"), "BETA_OVERRIDE_END_DT", _xll.BTODAY(), AD$4, "BETA_OVERRIDE_PERIOD=D")</f>
        <v>0.48343740000000002</v>
      </c>
      <c r="AE11" s="1" cm="1">
        <f t="array" ref="AE11">_xll.BDP($A11, "BETA_ADJ_OVERRIDABLE", "BETA_OVERRIDE_START_DT", _xll.BADDPERIODS(_xll.BTODAY(),"NUMBEROFPERIODS=-1","PER=Y"), "BETA_OVERRIDE_END_DT", _xll.BTODAY(), AE$4, "BETA_OVERRIDE_PERIOD=D")</f>
        <v>0.1433613</v>
      </c>
      <c r="AF11" s="1" cm="1">
        <f t="array" ref="AF11">_xll.BDP($A11, "BETA_ADJ_OVERRIDABLE", "BETA_OVERRIDE_START_DT", _xll.BADDPERIODS(_xll.BTODAY(),"NUMBEROFPERIODS=-1","PER=Y"), "BETA_OVERRIDE_END_DT", _xll.BTODAY(), AF$4, "BETA_OVERRIDE_PERIOD=D")</f>
        <v>0.65996140000000003</v>
      </c>
      <c r="AG11" s="1" cm="1">
        <f t="array" ref="AG11">_xll.BDP($A11, "BETA_ADJ_OVERRIDABLE", "BETA_OVERRIDE_START_DT", _xll.BADDPERIODS(_xll.BTODAY(),"NUMBEROFPERIODS=-1","PER=Y"), "BETA_OVERRIDE_END_DT", _xll.BTODAY(), AG$4, "BETA_OVERRIDE_PERIOD=D")</f>
        <v>0.50162490000000004</v>
      </c>
      <c r="AH11" s="1" cm="1">
        <f t="array" ref="AH11">_xll.BDP($A11, "BETA_ADJ_OVERRIDABLE", "BETA_OVERRIDE_START_DT", _xll.BADDPERIODS(_xll.BTODAY(),"NUMBEROFPERIODS=-1","PER=Y"), "BETA_OVERRIDE_END_DT", _xll.BTODAY(), AH$4, "BETA_OVERRIDE_PERIOD=D")</f>
        <v>0.12234159999999999</v>
      </c>
      <c r="AI11" s="1" cm="1">
        <f t="array" ref="AI11">_xll.BDP($A11, "BETA_ADJ_OVERRIDABLE", "BETA_OVERRIDE_START_DT", _xll.BADDPERIODS(_xll.BTODAY(),"NUMBEROFPERIODS=-1","PER=Y"), "BETA_OVERRIDE_END_DT", _xll.BTODAY(), AI$4, "BETA_OVERRIDE_PERIOD=D")</f>
        <v>0.2541891</v>
      </c>
      <c r="AJ11" s="1" cm="1">
        <f t="array" ref="AJ11">_xll.BDP($A11, "BETA_ADJ_OVERRIDABLE", "BETA_OVERRIDE_START_DT", _xll.BADDPERIODS(_xll.BTODAY(),"NUMBEROFPERIODS=-1","PER=Y"), "BETA_OVERRIDE_END_DT", _xll.BTODAY(), AJ$4, "BETA_OVERRIDE_PERIOD=D")</f>
        <v>0.49636819999999998</v>
      </c>
      <c r="AK11" s="1" cm="1">
        <f t="array" ref="AK11">_xll.BDP($A11, "BETA_ADJ_OVERRIDABLE", "BETA_OVERRIDE_START_DT", _xll.BADDPERIODS(_xll.BTODAY(),"NUMBEROFPERIODS=-1","PER=Y"), "BETA_OVERRIDE_END_DT", _xll.BTODAY(), AK$4, "BETA_OVERRIDE_PERIOD=D")</f>
        <v>0.43151479999999998</v>
      </c>
      <c r="AL11" s="1" cm="1">
        <f t="array" ref="AL11">_xll.BDP($A11, "BETA_ADJ_OVERRIDABLE", "BETA_OVERRIDE_START_DT", _xll.BADDPERIODS(_xll.BTODAY(),"NUMBEROFPERIODS=-1","PER=Y"), "BETA_OVERRIDE_END_DT", _xll.BTODAY(), AL$4, "BETA_OVERRIDE_PERIOD=D")</f>
        <v>0.44568489999999999</v>
      </c>
      <c r="AM11" s="1" cm="1">
        <f t="array" ref="AM11">_xll.BDP($A11, "BETA_ADJ_OVERRIDABLE", "BETA_OVERRIDE_START_DT", _xll.BADDPERIODS(_xll.BTODAY(),"NUMBEROFPERIODS=-1","PER=Y"), "BETA_OVERRIDE_END_DT", _xll.BTODAY(), AM$4, "BETA_OVERRIDE_PERIOD=D")</f>
        <v>0.9051593</v>
      </c>
      <c r="AN11" s="1" cm="1">
        <f t="array" ref="AN11">_xll.BDP($A11, "BETA_ADJ_OVERRIDABLE", "BETA_OVERRIDE_START_DT", _xll.BADDPERIODS(_xll.BTODAY(),"NUMBEROFPERIODS=-1","PER=Y"), "BETA_OVERRIDE_END_DT", _xll.BTODAY(), AN$4, "BETA_OVERRIDE_PERIOD=D")</f>
        <v>0.99107610000000002</v>
      </c>
      <c r="AO11" s="1" cm="1">
        <f t="array" ref="AO11">_xll.BDP($A11, "BETA_ADJ_OVERRIDABLE", "BETA_OVERRIDE_START_DT", _xll.BADDPERIODS(_xll.BTODAY(),"NUMBEROFPERIODS=-1","PER=Y"), "BETA_OVERRIDE_END_DT", _xll.BTODAY(), AO$4, "BETA_OVERRIDE_PERIOD=D")</f>
        <v>1.0330079999999999</v>
      </c>
    </row>
    <row r="12" spans="1:41" x14ac:dyDescent="0.25">
      <c r="A12" t="s">
        <v>49</v>
      </c>
      <c r="B12" s="1" cm="1">
        <f t="array" ref="B12">_xll.BDP($A12, B$4)</f>
        <v>0.88980210000000004</v>
      </c>
      <c r="C12" s="1" cm="1">
        <f t="array" ref="C12">_xll.BDP($A12, C$4)</f>
        <v>21.149049999999999</v>
      </c>
      <c r="D12" s="1" cm="1">
        <f t="array" ref="D12">_xll.BDP($A12, "BETA_ADJ_OVERRIDABLE", "BETA_OVERRIDE_START_DT", _xll.BADDPERIODS(_xll.BTODAY(),"NUMBEROFPERIODS=-5","PER=Y"), "BETA_OVERRIDE_END_DT", _xll.BTODAY(), D$4, "BETA_OVERRIDE_PERIOD=M")</f>
        <v>1.0083960000000001</v>
      </c>
      <c r="E12" s="1" cm="1">
        <f t="array" ref="E12">_xll.BDP($A12, "BETA_ADJ_OVERRIDABLE", "BETA_OVERRIDE_START_DT", _xll.BADDPERIODS(_xll.BTODAY(),"NUMBEROFPERIODS=-3","PER=Y"), "BETA_OVERRIDE_END_DT", _xll.BTODAY(), E$4, "BETA_OVERRIDE_PERIOD=W")</f>
        <v>1.011083</v>
      </c>
      <c r="F12" s="1" cm="1">
        <f t="array" ref="F12">_xll.BDP($A12, "BETA_ADJ_OVERRIDABLE", "BETA_OVERRIDE_START_DT", _xll.BADDPERIODS(_xll.BTODAY(),"NUMBEROFPERIODS=-1","PER=Y"), "BETA_OVERRIDE_END_DT", _xll.BTODAY(), F$4, "BETA_OVERRIDE_PERIOD=D")</f>
        <v>1.009646</v>
      </c>
      <c r="G12" s="1" cm="1">
        <f t="array" ref="G12">_xll.BDP($A12, "BETA_ADJ_OVERRIDABLE", "BETA_OVERRIDE_START_DT", _xll.BADDPERIODS(_xll.BTODAY(),"NUMBEROFPERIODS=-1","PER=Y"), "BETA_OVERRIDE_END_DT", _xll.BTODAY(), G$4, "BETA_OVERRIDE_PERIOD=D")</f>
        <v>0.87474660000000004</v>
      </c>
      <c r="H12" s="1" cm="1">
        <f t="array" ref="H12">_xll.BDP($A12, "BETA_ADJ_OVERRIDABLE", "BETA_OVERRIDE_START_DT", _xll.BADDPERIODS(_xll.BTODAY(),"NUMBEROFPERIODS=-1","PER=Y"), "BETA_OVERRIDE_END_DT", _xll.BTODAY(), H$4, "BETA_OVERRIDE_PERIOD=D")</f>
        <v>0.80661550000000004</v>
      </c>
      <c r="I12" s="1" cm="1">
        <f t="array" ref="I12">_xll.BDP($A12, "BETA_ADJ_OVERRIDABLE", "BETA_OVERRIDE_START_DT", _xll.BADDPERIODS(_xll.BTODAY(),"NUMBEROFPERIODS=-1","PER=Y"), "BETA_OVERRIDE_END_DT", _xll.BTODAY(), I$4, "BETA_OVERRIDE_PERIOD=D")</f>
        <v>0.85634330000000003</v>
      </c>
      <c r="J12" s="1" cm="1">
        <f t="array" ref="J12">_xll.BDP($A12, "BETA_ADJ_OVERRIDABLE", "BETA_OVERRIDE_START_DT", _xll.BADDPERIODS(_xll.BTODAY(),"NUMBEROFPERIODS=-1","PER=Y"), "BETA_OVERRIDE_END_DT", _xll.BTODAY(), J$4, "BETA_OVERRIDE_PERIOD=D")</f>
        <v>1.0493950000000001</v>
      </c>
      <c r="K12" s="1" cm="1">
        <f t="array" ref="K12">_xll.BDP($A12, "BETA_ADJ_OVERRIDABLE", "BETA_OVERRIDE_START_DT", _xll.BADDPERIODS(_xll.BTODAY(),"NUMBEROFPERIODS=-1","PER=Y"), "BETA_OVERRIDE_END_DT", _xll.BTODAY(), K$4, "BETA_OVERRIDE_PERIOD=D")</f>
        <v>0.85496490000000003</v>
      </c>
      <c r="L12" s="1" cm="1">
        <f t="array" ref="L12">_xll.BDP($A12, "BETA_ADJ_OVERRIDABLE", "BETA_OVERRIDE_START_DT", _xll.BADDPERIODS(_xll.BTODAY(),"NUMBEROFPERIODS=-1","PER=Y"), "BETA_OVERRIDE_END_DT", _xll.BTODAY(), L$4, "BETA_OVERRIDE_PERIOD=D")</f>
        <v>0.42169299999999998</v>
      </c>
      <c r="M12" s="1" cm="1">
        <f t="array" ref="M12">_xll.BDP($A12, "BETA_ADJ_OVERRIDABLE", "BETA_OVERRIDE_START_DT", _xll.BADDPERIODS(_xll.BTODAY(),"NUMBEROFPERIODS=-1","PER=Y"), "BETA_OVERRIDE_END_DT", _xll.BTODAY(), M$4, "BETA_OVERRIDE_PERIOD=D")</f>
        <v>0.41836960000000001</v>
      </c>
      <c r="N12" s="1" cm="1">
        <f t="array" ref="N12">_xll.BDP($A12, "BETA_ADJ_OVERRIDABLE", "BETA_OVERRIDE_START_DT", _xll.BADDPERIODS(_xll.BTODAY(),"NUMBEROFPERIODS=-1","PER=Y"), "BETA_OVERRIDE_END_DT", _xll.BTODAY(), N$4, "BETA_OVERRIDE_PERIOD=D")</f>
        <v>1.1482159999999999</v>
      </c>
      <c r="O12" s="1" cm="1">
        <f t="array" ref="O12">_xll.BDP($A12, "BETA_ADJ_OVERRIDABLE", "BETA_OVERRIDE_START_DT", _xll.BADDPERIODS(_xll.BTODAY(),"NUMBEROFPERIODS=-1","PER=Y"), "BETA_OVERRIDE_END_DT", _xll.BTODAY(), O$4, "BETA_OVERRIDE_PERIOD=D")</f>
        <v>0.52756769999999997</v>
      </c>
      <c r="P12" s="1" cm="1">
        <f t="array" ref="P12">_xll.BDP($A12, "BETA_ADJ_OVERRIDABLE", "BETA_OVERRIDE_START_DT", _xll.BADDPERIODS(_xll.BTODAY(),"NUMBEROFPERIODS=-1","PER=Y"), "BETA_OVERRIDE_END_DT", _xll.BTODAY(), P$4, "BETA_OVERRIDE_PERIOD=D")</f>
        <v>0.37306210000000001</v>
      </c>
      <c r="Q12" s="1" cm="1">
        <f t="array" ref="Q12">_xll.BDP($A12, "BETA_ADJ_OVERRIDABLE", "BETA_OVERRIDE_START_DT", _xll.BADDPERIODS(_xll.BTODAY(),"NUMBEROFPERIODS=-1","PER=Y"), "BETA_OVERRIDE_END_DT", _xll.BTODAY(), Q$4, "BETA_OVERRIDE_PERIOD=D")</f>
        <v>0.1396579</v>
      </c>
      <c r="R12" s="1" cm="1">
        <f t="array" ref="R12">_xll.BDP($A12, "BETA_ADJ_OVERRIDABLE", "BETA_OVERRIDE_START_DT", _xll.BADDPERIODS(_xll.BTODAY(),"NUMBEROFPERIODS=-1","PER=Y"), "BETA_OVERRIDE_END_DT", _xll.BTODAY(), R$4, "BETA_OVERRIDE_PERIOD=D")</f>
        <v>0.73690080000000002</v>
      </c>
      <c r="S12" s="1" cm="1">
        <f t="array" ref="S12">_xll.BDP($A12, "BETA_ADJ_OVERRIDABLE", "BETA_OVERRIDE_START_DT", _xll.BADDPERIODS(_xll.BTODAY(),"NUMBEROFPERIODS=-1","PER=Y"), "BETA_OVERRIDE_END_DT", _xll.BTODAY(), S$4, "BETA_OVERRIDE_PERIOD=D")</f>
        <v>2.940817</v>
      </c>
      <c r="T12" s="1" cm="1">
        <f t="array" ref="T12">_xll.BDP($A12, "BETA_ADJ_OVERRIDABLE", "BETA_OVERRIDE_START_DT", _xll.BADDPERIODS(_xll.BTODAY(),"NUMBEROFPERIODS=-1","PER=Y"), "BETA_OVERRIDE_END_DT", _xll.BTODAY(), T$4, "BETA_OVERRIDE_PERIOD=D")</f>
        <v>0.151841</v>
      </c>
      <c r="U12" s="1" cm="1">
        <f t="array" ref="U12">_xll.BDP($A12, "BETA_ADJ_OVERRIDABLE", "BETA_OVERRIDE_START_DT", _xll.BADDPERIODS(_xll.BTODAY(),"NUMBEROFPERIODS=-1","PER=Y"), "BETA_OVERRIDE_END_DT", _xll.BTODAY(), U$4, "BETA_OVERRIDE_PERIOD=D")</f>
        <v>0.75813439999999999</v>
      </c>
      <c r="V12" s="1" cm="1">
        <f t="array" ref="V12">_xll.BDP($A12, "BETA_ADJ_OVERRIDABLE", "BETA_OVERRIDE_START_DT", _xll.BADDPERIODS(_xll.BTODAY(),"NUMBEROFPERIODS=-1","PER=Y"), "BETA_OVERRIDE_END_DT", _xll.BTODAY(), V$4, "BETA_OVERRIDE_PERIOD=D")</f>
        <v>0.61450780000000005</v>
      </c>
      <c r="W12" s="1" cm="1">
        <f t="array" ref="W12">_xll.BDP($A12, "BETA_ADJ_OVERRIDABLE", "BETA_OVERRIDE_START_DT", _xll.BADDPERIODS(_xll.BTODAY(),"NUMBEROFPERIODS=-1","PER=Y"), "BETA_OVERRIDE_END_DT", _xll.BTODAY(), W$4, "BETA_OVERRIDE_PERIOD=D")</f>
        <v>0.37306210000000001</v>
      </c>
      <c r="X12" s="1" cm="1">
        <f t="array" ref="X12">_xll.BDP($A12, "BETA_ADJ_OVERRIDABLE", "BETA_OVERRIDE_START_DT", _xll.BADDPERIODS(_xll.BTODAY(),"NUMBEROFPERIODS=-1","PER=Y"), "BETA_OVERRIDE_END_DT", _xll.BTODAY(), X$4, "BETA_OVERRIDE_PERIOD=D")</f>
        <v>0.42779669999999997</v>
      </c>
      <c r="Y12" s="1" cm="1">
        <f t="array" ref="Y12">_xll.BDP($A12, "BETA_ADJ_OVERRIDABLE", "BETA_OVERRIDE_START_DT", _xll.BADDPERIODS(_xll.BTODAY(),"NUMBEROFPERIODS=-1","PER=Y"), "BETA_OVERRIDE_END_DT", _xll.BTODAY(), Y$4, "BETA_OVERRIDE_PERIOD=D")</f>
        <v>0.43557699999999999</v>
      </c>
      <c r="Z12" s="1" cm="1">
        <f t="array" ref="Z12">_xll.BDP($A12, "BETA_ADJ_OVERRIDABLE", "BETA_OVERRIDE_START_DT", _xll.BADDPERIODS(_xll.BTODAY(),"NUMBEROFPERIODS=-1","PER=Y"), "BETA_OVERRIDE_END_DT", _xll.BTODAY(), Z$4, "BETA_OVERRIDE_PERIOD=D")</f>
        <v>0.35025650000000003</v>
      </c>
      <c r="AA12" s="1" cm="1">
        <f t="array" ref="AA12">_xll.BDP($A12, "BETA_ADJ_OVERRIDABLE", "BETA_OVERRIDE_START_DT", _xll.BADDPERIODS(_xll.BTODAY(),"NUMBEROFPERIODS=-1","PER=Y"), "BETA_OVERRIDE_END_DT", _xll.BTODAY(), AA$4, "BETA_OVERRIDE_PERIOD=D")</f>
        <v>0.38761950000000001</v>
      </c>
      <c r="AB12" s="1" cm="1">
        <f t="array" ref="AB12">_xll.BDP($A12, "BETA_ADJ_OVERRIDABLE", "BETA_OVERRIDE_START_DT", _xll.BADDPERIODS(_xll.BTODAY(),"NUMBEROFPERIODS=-1","PER=Y"), "BETA_OVERRIDE_END_DT", _xll.BTODAY(), AB$4, "BETA_OVERRIDE_PERIOD=D")</f>
        <v>0.61640379999999995</v>
      </c>
      <c r="AC12" s="1" cm="1">
        <f t="array" ref="AC12">_xll.BDP($A12, "BETA_ADJ_OVERRIDABLE", "BETA_OVERRIDE_START_DT", _xll.BADDPERIODS(_xll.BTODAY(),"NUMBEROFPERIODS=-1","PER=Y"), "BETA_OVERRIDE_END_DT", _xll.BTODAY(), AC$4, "BETA_OVERRIDE_PERIOD=D")</f>
        <v>0.51020169999999998</v>
      </c>
      <c r="AD12" s="1" cm="1">
        <f t="array" ref="AD12">_xll.BDP($A12, "BETA_ADJ_OVERRIDABLE", "BETA_OVERRIDE_START_DT", _xll.BADDPERIODS(_xll.BTODAY(),"NUMBEROFPERIODS=-1","PER=Y"), "BETA_OVERRIDE_END_DT", _xll.BTODAY(), AD$4, "BETA_OVERRIDE_PERIOD=D")</f>
        <v>0.50051590000000001</v>
      </c>
      <c r="AE12" s="1" cm="1">
        <f t="array" ref="AE12">_xll.BDP($A12, "BETA_ADJ_OVERRIDABLE", "BETA_OVERRIDE_START_DT", _xll.BADDPERIODS(_xll.BTODAY(),"NUMBEROFPERIODS=-1","PER=Y"), "BETA_OVERRIDE_END_DT", _xll.BTODAY(), AE$4, "BETA_OVERRIDE_PERIOD=D")</f>
        <v>0.13857410000000001</v>
      </c>
      <c r="AF12" s="1" cm="1">
        <f t="array" ref="AF12">_xll.BDP($A12, "BETA_ADJ_OVERRIDABLE", "BETA_OVERRIDE_START_DT", _xll.BADDPERIODS(_xll.BTODAY(),"NUMBEROFPERIODS=-1","PER=Y"), "BETA_OVERRIDE_END_DT", _xll.BTODAY(), AF$4, "BETA_OVERRIDE_PERIOD=D")</f>
        <v>0.67019759999999995</v>
      </c>
      <c r="AG12" s="1" cm="1">
        <f t="array" ref="AG12">_xll.BDP($A12, "BETA_ADJ_OVERRIDABLE", "BETA_OVERRIDE_START_DT", _xll.BADDPERIODS(_xll.BTODAY(),"NUMBEROFPERIODS=-1","PER=Y"), "BETA_OVERRIDE_END_DT", _xll.BTODAY(), AG$4, "BETA_OVERRIDE_PERIOD=D")</f>
        <v>0.4872069</v>
      </c>
      <c r="AH12" s="1" cm="1">
        <f t="array" ref="AH12">_xll.BDP($A12, "BETA_ADJ_OVERRIDABLE", "BETA_OVERRIDE_START_DT", _xll.BADDPERIODS(_xll.BTODAY(),"NUMBEROFPERIODS=-1","PER=Y"), "BETA_OVERRIDE_END_DT", _xll.BTODAY(), AH$4, "BETA_OVERRIDE_PERIOD=D")</f>
        <v>0.21291740000000001</v>
      </c>
      <c r="AI12" s="1" cm="1">
        <f t="array" ref="AI12">_xll.BDP($A12, "BETA_ADJ_OVERRIDABLE", "BETA_OVERRIDE_START_DT", _xll.BADDPERIODS(_xll.BTODAY(),"NUMBEROFPERIODS=-1","PER=Y"), "BETA_OVERRIDE_END_DT", _xll.BTODAY(), AI$4, "BETA_OVERRIDE_PERIOD=D")</f>
        <v>0.15990770000000001</v>
      </c>
      <c r="AJ12" s="1" cm="1">
        <f t="array" ref="AJ12">_xll.BDP($A12, "BETA_ADJ_OVERRIDABLE", "BETA_OVERRIDE_START_DT", _xll.BADDPERIODS(_xll.BTODAY(),"NUMBEROFPERIODS=-1","PER=Y"), "BETA_OVERRIDE_END_DT", _xll.BTODAY(), AJ$4, "BETA_OVERRIDE_PERIOD=D")</f>
        <v>0.47111310000000001</v>
      </c>
      <c r="AK12" s="1" cm="1">
        <f t="array" ref="AK12">_xll.BDP($A12, "BETA_ADJ_OVERRIDABLE", "BETA_OVERRIDE_START_DT", _xll.BADDPERIODS(_xll.BTODAY(),"NUMBEROFPERIODS=-1","PER=Y"), "BETA_OVERRIDE_END_DT", _xll.BTODAY(), AK$4, "BETA_OVERRIDE_PERIOD=D")</f>
        <v>0.42056389999999999</v>
      </c>
      <c r="AL12" s="1" cm="1">
        <f t="array" ref="AL12">_xll.BDP($A12, "BETA_ADJ_OVERRIDABLE", "BETA_OVERRIDE_START_DT", _xll.BADDPERIODS(_xll.BTODAY(),"NUMBEROFPERIODS=-1","PER=Y"), "BETA_OVERRIDE_END_DT", _xll.BTODAY(), AL$4, "BETA_OVERRIDE_PERIOD=D")</f>
        <v>0.4326506</v>
      </c>
      <c r="AM12" s="1" cm="1">
        <f t="array" ref="AM12">_xll.BDP($A12, "BETA_ADJ_OVERRIDABLE", "BETA_OVERRIDE_START_DT", _xll.BADDPERIODS(_xll.BTODAY(),"NUMBEROFPERIODS=-1","PER=Y"), "BETA_OVERRIDE_END_DT", _xll.BTODAY(), AM$4, "BETA_OVERRIDE_PERIOD=D")</f>
        <v>0.78249369999999996</v>
      </c>
      <c r="AN12" s="1" cm="1">
        <f t="array" ref="AN12">_xll.BDP($A12, "BETA_ADJ_OVERRIDABLE", "BETA_OVERRIDE_START_DT", _xll.BADDPERIODS(_xll.BTODAY(),"NUMBEROFPERIODS=-1","PER=Y"), "BETA_OVERRIDE_END_DT", _xll.BTODAY(), AN$4, "BETA_OVERRIDE_PERIOD=D")</f>
        <v>0.839951</v>
      </c>
      <c r="AO12" s="1" cm="1">
        <f t="array" ref="AO12">_xll.BDP($A12, "BETA_ADJ_OVERRIDABLE", "BETA_OVERRIDE_START_DT", _xll.BADDPERIODS(_xll.BTODAY(),"NUMBEROFPERIODS=-1","PER=Y"), "BETA_OVERRIDE_END_DT", _xll.BTODAY(), AO$4, "BETA_OVERRIDE_PERIOD=D")</f>
        <v>0.88348360000000004</v>
      </c>
    </row>
    <row r="13" spans="1:41" x14ac:dyDescent="0.25">
      <c r="A13" t="s">
        <v>50</v>
      </c>
      <c r="B13" s="1" cm="1">
        <f t="array" ref="B13">_xll.BDP($A13, B$4)</f>
        <v>0.76379490000000005</v>
      </c>
      <c r="C13" s="1" cm="1">
        <f t="array" ref="C13">_xll.BDP($A13, C$4)</f>
        <v>15.41164</v>
      </c>
      <c r="D13" s="1" cm="1">
        <f t="array" ref="D13">_xll.BDP($A13, "BETA_ADJ_OVERRIDABLE", "BETA_OVERRIDE_START_DT", _xll.BADDPERIODS(_xll.BTODAY(),"NUMBEROFPERIODS=-5","PER=Y"), "BETA_OVERRIDE_END_DT", _xll.BTODAY(), D$4, "BETA_OVERRIDE_PERIOD=M")</f>
        <v>0.8183182</v>
      </c>
      <c r="E13" s="1" cm="1">
        <f t="array" ref="E13">_xll.BDP($A13, "BETA_ADJ_OVERRIDABLE", "BETA_OVERRIDE_START_DT", _xll.BADDPERIODS(_xll.BTODAY(),"NUMBEROFPERIODS=-3","PER=Y"), "BETA_OVERRIDE_END_DT", _xll.BTODAY(), E$4, "BETA_OVERRIDE_PERIOD=W")</f>
        <v>0.7303172</v>
      </c>
      <c r="F13" s="1" cm="1">
        <f t="array" ref="F13">_xll.BDP($A13, "BETA_ADJ_OVERRIDABLE", "BETA_OVERRIDE_START_DT", _xll.BADDPERIODS(_xll.BTODAY(),"NUMBEROFPERIODS=-1","PER=Y"), "BETA_OVERRIDE_END_DT", _xll.BTODAY(), F$4, "BETA_OVERRIDE_PERIOD=D")</f>
        <v>0.6772918</v>
      </c>
      <c r="G13" s="1" cm="1">
        <f t="array" ref="G13">_xll.BDP($A13, "BETA_ADJ_OVERRIDABLE", "BETA_OVERRIDE_START_DT", _xll.BADDPERIODS(_xll.BTODAY(),"NUMBEROFPERIODS=-1","PER=Y"), "BETA_OVERRIDE_END_DT", _xll.BTODAY(), G$4, "BETA_OVERRIDE_PERIOD=D")</f>
        <v>0.66350120000000001</v>
      </c>
      <c r="H13" s="1" cm="1">
        <f t="array" ref="H13">_xll.BDP($A13, "BETA_ADJ_OVERRIDABLE", "BETA_OVERRIDE_START_DT", _xll.BADDPERIODS(_xll.BTODAY(),"NUMBEROFPERIODS=-1","PER=Y"), "BETA_OVERRIDE_END_DT", _xll.BTODAY(), H$4, "BETA_OVERRIDE_PERIOD=D")</f>
        <v>0.61025770000000001</v>
      </c>
      <c r="I13" s="1" cm="1">
        <f t="array" ref="I13">_xll.BDP($A13, "BETA_ADJ_OVERRIDABLE", "BETA_OVERRIDE_START_DT", _xll.BADDPERIODS(_xll.BTODAY(),"NUMBEROFPERIODS=-1","PER=Y"), "BETA_OVERRIDE_END_DT", _xll.BTODAY(), I$4, "BETA_OVERRIDE_PERIOD=D")</f>
        <v>0.54571429999999999</v>
      </c>
      <c r="J13" s="1" cm="1">
        <f t="array" ref="J13">_xll.BDP($A13, "BETA_ADJ_OVERRIDABLE", "BETA_OVERRIDE_START_DT", _xll.BADDPERIODS(_xll.BTODAY(),"NUMBEROFPERIODS=-1","PER=Y"), "BETA_OVERRIDE_END_DT", _xll.BTODAY(), J$4, "BETA_OVERRIDE_PERIOD=D")</f>
        <v>0.85598549999999995</v>
      </c>
      <c r="K13" s="1" cm="1">
        <f t="array" ref="K13">_xll.BDP($A13, "BETA_ADJ_OVERRIDABLE", "BETA_OVERRIDE_START_DT", _xll.BADDPERIODS(_xll.BTODAY(),"NUMBEROFPERIODS=-1","PER=Y"), "BETA_OVERRIDE_END_DT", _xll.BTODAY(), K$4, "BETA_OVERRIDE_PERIOD=D")</f>
        <v>0.53632740000000001</v>
      </c>
      <c r="L13" s="1" cm="1">
        <f t="array" ref="L13">_xll.BDP($A13, "BETA_ADJ_OVERRIDABLE", "BETA_OVERRIDE_START_DT", _xll.BADDPERIODS(_xll.BTODAY(),"NUMBEROFPERIODS=-1","PER=Y"), "BETA_OVERRIDE_END_DT", _xll.BTODAY(), L$4, "BETA_OVERRIDE_PERIOD=D")</f>
        <v>0.4173268</v>
      </c>
      <c r="M13" s="1" cm="1">
        <f t="array" ref="M13">_xll.BDP($A13, "BETA_ADJ_OVERRIDABLE", "BETA_OVERRIDE_START_DT", _xll.BADDPERIODS(_xll.BTODAY(),"NUMBEROFPERIODS=-1","PER=Y"), "BETA_OVERRIDE_END_DT", _xll.BTODAY(), M$4, "BETA_OVERRIDE_PERIOD=D")</f>
        <v>0.37008249999999998</v>
      </c>
      <c r="N13" s="1" cm="1">
        <f t="array" ref="N13">_xll.BDP($A13, "BETA_ADJ_OVERRIDABLE", "BETA_OVERRIDE_START_DT", _xll.BADDPERIODS(_xll.BTODAY(),"NUMBEROFPERIODS=-1","PER=Y"), "BETA_OVERRIDE_END_DT", _xll.BTODAY(), N$4, "BETA_OVERRIDE_PERIOD=D")</f>
        <v>0.75878820000000002</v>
      </c>
      <c r="O13" s="1" cm="1">
        <f t="array" ref="O13">_xll.BDP($A13, "BETA_ADJ_OVERRIDABLE", "BETA_OVERRIDE_START_DT", _xll.BADDPERIODS(_xll.BTODAY(),"NUMBEROFPERIODS=-1","PER=Y"), "BETA_OVERRIDE_END_DT", _xll.BTODAY(), O$4, "BETA_OVERRIDE_PERIOD=D")</f>
        <v>0.37853379999999998</v>
      </c>
      <c r="P13" s="1" cm="1">
        <f t="array" ref="P13">_xll.BDP($A13, "BETA_ADJ_OVERRIDABLE", "BETA_OVERRIDE_START_DT", _xll.BADDPERIODS(_xll.BTODAY(),"NUMBEROFPERIODS=-1","PER=Y"), "BETA_OVERRIDE_END_DT", _xll.BTODAY(), P$4, "BETA_OVERRIDE_PERIOD=D")</f>
        <v>0.27249040000000002</v>
      </c>
      <c r="Q13" s="1" cm="1">
        <f t="array" ref="Q13">_xll.BDP($A13, "BETA_ADJ_OVERRIDABLE", "BETA_OVERRIDE_START_DT", _xll.BADDPERIODS(_xll.BTODAY(),"NUMBEROFPERIODS=-1","PER=Y"), "BETA_OVERRIDE_END_DT", _xll.BTODAY(), Q$4, "BETA_OVERRIDE_PERIOD=D")</f>
        <v>0.59142240000000001</v>
      </c>
      <c r="R13" s="1" cm="1">
        <f t="array" ref="R13">_xll.BDP($A13, "BETA_ADJ_OVERRIDABLE", "BETA_OVERRIDE_START_DT", _xll.BADDPERIODS(_xll.BTODAY(),"NUMBEROFPERIODS=-1","PER=Y"), "BETA_OVERRIDE_END_DT", _xll.BTODAY(), R$4, "BETA_OVERRIDE_PERIOD=D")</f>
        <v>0.84860590000000002</v>
      </c>
      <c r="S13" s="1" cm="1">
        <f t="array" ref="S13">_xll.BDP($A13, "BETA_ADJ_OVERRIDABLE", "BETA_OVERRIDE_START_DT", _xll.BADDPERIODS(_xll.BTODAY(),"NUMBEROFPERIODS=-1","PER=Y"), "BETA_OVERRIDE_END_DT", _xll.BTODAY(), S$4, "BETA_OVERRIDE_PERIOD=D")</f>
        <v>1.891589</v>
      </c>
      <c r="T13" s="1" cm="1">
        <f t="array" ref="T13">_xll.BDP($A13, "BETA_ADJ_OVERRIDABLE", "BETA_OVERRIDE_START_DT", _xll.BADDPERIODS(_xll.BTODAY(),"NUMBEROFPERIODS=-1","PER=Y"), "BETA_OVERRIDE_END_DT", _xll.BTODAY(), T$4, "BETA_OVERRIDE_PERIOD=D")</f>
        <v>0.48755039999999999</v>
      </c>
      <c r="U13" s="1" cm="1">
        <f t="array" ref="U13">_xll.BDP($A13, "BETA_ADJ_OVERRIDABLE", "BETA_OVERRIDE_START_DT", _xll.BADDPERIODS(_xll.BTODAY(),"NUMBEROFPERIODS=-1","PER=Y"), "BETA_OVERRIDE_END_DT", _xll.BTODAY(), U$4, "BETA_OVERRIDE_PERIOD=D")</f>
        <v>0.71481410000000001</v>
      </c>
      <c r="V13" s="1" cm="1">
        <f t="array" ref="V13">_xll.BDP($A13, "BETA_ADJ_OVERRIDABLE", "BETA_OVERRIDE_START_DT", _xll.BADDPERIODS(_xll.BTODAY(),"NUMBEROFPERIODS=-1","PER=Y"), "BETA_OVERRIDE_END_DT", _xll.BTODAY(), V$4, "BETA_OVERRIDE_PERIOD=D")</f>
        <v>0.95070770000000004</v>
      </c>
      <c r="W13" s="1" cm="1">
        <f t="array" ref="W13">_xll.BDP($A13, "BETA_ADJ_OVERRIDABLE", "BETA_OVERRIDE_START_DT", _xll.BADDPERIODS(_xll.BTODAY(),"NUMBEROFPERIODS=-1","PER=Y"), "BETA_OVERRIDE_END_DT", _xll.BTODAY(), W$4, "BETA_OVERRIDE_PERIOD=D")</f>
        <v>0.27249040000000002</v>
      </c>
      <c r="X13" s="1" cm="1">
        <f t="array" ref="X13">_xll.BDP($A13, "BETA_ADJ_OVERRIDABLE", "BETA_OVERRIDE_START_DT", _xll.BADDPERIODS(_xll.BTODAY(),"NUMBEROFPERIODS=-1","PER=Y"), "BETA_OVERRIDE_END_DT", _xll.BTODAY(), X$4, "BETA_OVERRIDE_PERIOD=D")</f>
        <v>0.3924589</v>
      </c>
      <c r="Y13" s="1" cm="1">
        <f t="array" ref="Y13">_xll.BDP($A13, "BETA_ADJ_OVERRIDABLE", "BETA_OVERRIDE_START_DT", _xll.BADDPERIODS(_xll.BTODAY(),"NUMBEROFPERIODS=-1","PER=Y"), "BETA_OVERRIDE_END_DT", _xll.BTODAY(), Y$4, "BETA_OVERRIDE_PERIOD=D")</f>
        <v>0.39721679999999998</v>
      </c>
      <c r="Z13" s="1" cm="1">
        <f t="array" ref="Z13">_xll.BDP($A13, "BETA_ADJ_OVERRIDABLE", "BETA_OVERRIDE_START_DT", _xll.BADDPERIODS(_xll.BTODAY(),"NUMBEROFPERIODS=-1","PER=Y"), "BETA_OVERRIDE_END_DT", _xll.BTODAY(), Z$4, "BETA_OVERRIDE_PERIOD=D")</f>
        <v>0.35286220000000001</v>
      </c>
      <c r="AA13" s="1" cm="1">
        <f t="array" ref="AA13">_xll.BDP($A13, "BETA_ADJ_OVERRIDABLE", "BETA_OVERRIDE_START_DT", _xll.BADDPERIODS(_xll.BTODAY(),"NUMBEROFPERIODS=-1","PER=Y"), "BETA_OVERRIDE_END_DT", _xll.BTODAY(), AA$4, "BETA_OVERRIDE_PERIOD=D")</f>
        <v>0.3817141</v>
      </c>
      <c r="AB13" s="1" cm="1">
        <f t="array" ref="AB13">_xll.BDP($A13, "BETA_ADJ_OVERRIDABLE", "BETA_OVERRIDE_START_DT", _xll.BADDPERIODS(_xll.BTODAY(),"NUMBEROFPERIODS=-1","PER=Y"), "BETA_OVERRIDE_END_DT", _xll.BTODAY(), AB$4, "BETA_OVERRIDE_PERIOD=D")</f>
        <v>0.53318829999999995</v>
      </c>
      <c r="AC13" s="1" cm="1">
        <f t="array" ref="AC13">_xll.BDP($A13, "BETA_ADJ_OVERRIDABLE", "BETA_OVERRIDE_START_DT", _xll.BADDPERIODS(_xll.BTODAY(),"NUMBEROFPERIODS=-1","PER=Y"), "BETA_OVERRIDE_END_DT", _xll.BTODAY(), AC$4, "BETA_OVERRIDE_PERIOD=D")</f>
        <v>0.44822529999999999</v>
      </c>
      <c r="AD13" s="1" cm="1">
        <f t="array" ref="AD13">_xll.BDP($A13, "BETA_ADJ_OVERRIDABLE", "BETA_OVERRIDE_START_DT", _xll.BADDPERIODS(_xll.BTODAY(),"NUMBEROFPERIODS=-1","PER=Y"), "BETA_OVERRIDE_END_DT", _xll.BTODAY(), AD$4, "BETA_OVERRIDE_PERIOD=D")</f>
        <v>0.33082600000000001</v>
      </c>
      <c r="AE13" s="1" cm="1">
        <f t="array" ref="AE13">_xll.BDP($A13, "BETA_ADJ_OVERRIDABLE", "BETA_OVERRIDE_START_DT", _xll.BADDPERIODS(_xll.BTODAY(),"NUMBEROFPERIODS=-1","PER=Y"), "BETA_OVERRIDE_END_DT", _xll.BTODAY(), AE$4, "BETA_OVERRIDE_PERIOD=D")</f>
        <v>0.29035430000000001</v>
      </c>
      <c r="AF13" s="1" cm="1">
        <f t="array" ref="AF13">_xll.BDP($A13, "BETA_ADJ_OVERRIDABLE", "BETA_OVERRIDE_START_DT", _xll.BADDPERIODS(_xll.BTODAY(),"NUMBEROFPERIODS=-1","PER=Y"), "BETA_OVERRIDE_END_DT", _xll.BTODAY(), AF$4, "BETA_OVERRIDE_PERIOD=D")</f>
        <v>0.37208390000000002</v>
      </c>
      <c r="AG13" s="1" cm="1">
        <f t="array" ref="AG13">_xll.BDP($A13, "BETA_ADJ_OVERRIDABLE", "BETA_OVERRIDE_START_DT", _xll.BADDPERIODS(_xll.BTODAY(),"NUMBEROFPERIODS=-1","PER=Y"), "BETA_OVERRIDE_END_DT", _xll.BTODAY(), AG$4, "BETA_OVERRIDE_PERIOD=D")</f>
        <v>0.50664379999999998</v>
      </c>
      <c r="AH13" s="1" cm="1">
        <f t="array" ref="AH13">_xll.BDP($A13, "BETA_ADJ_OVERRIDABLE", "BETA_OVERRIDE_START_DT", _xll.BADDPERIODS(_xll.BTODAY(),"NUMBEROFPERIODS=-1","PER=Y"), "BETA_OVERRIDE_END_DT", _xll.BTODAY(), AH$4, "BETA_OVERRIDE_PERIOD=D")</f>
        <v>0.2469298</v>
      </c>
      <c r="AI13" s="1" cm="1">
        <f t="array" ref="AI13">_xll.BDP($A13, "BETA_ADJ_OVERRIDABLE", "BETA_OVERRIDE_START_DT", _xll.BADDPERIODS(_xll.BTODAY(),"NUMBEROFPERIODS=-1","PER=Y"), "BETA_OVERRIDE_END_DT", _xll.BTODAY(), AI$4, "BETA_OVERRIDE_PERIOD=D")</f>
        <v>0.21677669999999999</v>
      </c>
      <c r="AJ13" s="1" cm="1">
        <f t="array" ref="AJ13">_xll.BDP($A13, "BETA_ADJ_OVERRIDABLE", "BETA_OVERRIDE_START_DT", _xll.BADDPERIODS(_xll.BTODAY(),"NUMBEROFPERIODS=-1","PER=Y"), "BETA_OVERRIDE_END_DT", _xll.BTODAY(), AJ$4, "BETA_OVERRIDE_PERIOD=D")</f>
        <v>0.39089200000000002</v>
      </c>
      <c r="AK13" s="1" cm="1">
        <f t="array" ref="AK13">_xll.BDP($A13, "BETA_ADJ_OVERRIDABLE", "BETA_OVERRIDE_START_DT", _xll.BADDPERIODS(_xll.BTODAY(),"NUMBEROFPERIODS=-1","PER=Y"), "BETA_OVERRIDE_END_DT", _xll.BTODAY(), AK$4, "BETA_OVERRIDE_PERIOD=D")</f>
        <v>0.36916880000000002</v>
      </c>
      <c r="AL13" s="1" cm="1">
        <f t="array" ref="AL13">_xll.BDP($A13, "BETA_ADJ_OVERRIDABLE", "BETA_OVERRIDE_START_DT", _xll.BADDPERIODS(_xll.BTODAY(),"NUMBEROFPERIODS=-1","PER=Y"), "BETA_OVERRIDE_END_DT", _xll.BTODAY(), AL$4, "BETA_OVERRIDE_PERIOD=D")</f>
        <v>0.37354710000000002</v>
      </c>
      <c r="AM13" s="1" cm="1">
        <f t="array" ref="AM13">_xll.BDP($A13, "BETA_ADJ_OVERRIDABLE", "BETA_OVERRIDE_START_DT", _xll.BADDPERIODS(_xll.BTODAY(),"NUMBEROFPERIODS=-1","PER=Y"), "BETA_OVERRIDE_END_DT", _xll.BTODAY(), AM$4, "BETA_OVERRIDE_PERIOD=D")</f>
        <v>0.72622900000000001</v>
      </c>
      <c r="AN13" s="1" cm="1">
        <f t="array" ref="AN13">_xll.BDP($A13, "BETA_ADJ_OVERRIDABLE", "BETA_OVERRIDE_START_DT", _xll.BADDPERIODS(_xll.BTODAY(),"NUMBEROFPERIODS=-1","PER=Y"), "BETA_OVERRIDE_END_DT", _xll.BTODAY(), AN$4, "BETA_OVERRIDE_PERIOD=D")</f>
        <v>0.81011060000000001</v>
      </c>
      <c r="AO13" s="1" cm="1">
        <f t="array" ref="AO13">_xll.BDP($A13, "BETA_ADJ_OVERRIDABLE", "BETA_OVERRIDE_START_DT", _xll.BADDPERIODS(_xll.BTODAY(),"NUMBEROFPERIODS=-1","PER=Y"), "BETA_OVERRIDE_END_DT", _xll.BTODAY(), AO$4, "BETA_OVERRIDE_PERIOD=D")</f>
        <v>0.7255568</v>
      </c>
    </row>
    <row r="14" spans="1:41" x14ac:dyDescent="0.25">
      <c r="A14" t="s">
        <v>50</v>
      </c>
      <c r="B14" s="1" cm="1">
        <f t="array" ref="B14">_xll.BDP($A14, B$4)</f>
        <v>0.76379490000000005</v>
      </c>
      <c r="C14" s="1" cm="1">
        <f t="array" ref="C14">_xll.BDP($A14, C$4)</f>
        <v>15.41164</v>
      </c>
      <c r="D14" s="1" cm="1">
        <f t="array" ref="D14">_xll.BDP($A14, "BETA_ADJ_OVERRIDABLE", "BETA_OVERRIDE_START_DT", _xll.BADDPERIODS(_xll.BTODAY(),"NUMBEROFPERIODS=-5","PER=Y"), "BETA_OVERRIDE_END_DT", _xll.BTODAY(), D$4, "BETA_OVERRIDE_PERIOD=M")</f>
        <v>0.8183182</v>
      </c>
      <c r="E14" s="1" cm="1">
        <f t="array" ref="E14">_xll.BDP($A14, "BETA_ADJ_OVERRIDABLE", "BETA_OVERRIDE_START_DT", _xll.BADDPERIODS(_xll.BTODAY(),"NUMBEROFPERIODS=-3","PER=Y"), "BETA_OVERRIDE_END_DT", _xll.BTODAY(), E$4, "BETA_OVERRIDE_PERIOD=W")</f>
        <v>0.7303172</v>
      </c>
      <c r="F14" s="1" cm="1">
        <f t="array" ref="F14">_xll.BDP($A14, "BETA_ADJ_OVERRIDABLE", "BETA_OVERRIDE_START_DT", _xll.BADDPERIODS(_xll.BTODAY(),"NUMBEROFPERIODS=-1","PER=Y"), "BETA_OVERRIDE_END_DT", _xll.BTODAY(), F$4, "BETA_OVERRIDE_PERIOD=D")</f>
        <v>0.6772918</v>
      </c>
      <c r="G14" s="1" cm="1">
        <f t="array" ref="G14">_xll.BDP($A14, "BETA_ADJ_OVERRIDABLE", "BETA_OVERRIDE_START_DT", _xll.BADDPERIODS(_xll.BTODAY(),"NUMBEROFPERIODS=-1","PER=Y"), "BETA_OVERRIDE_END_DT", _xll.BTODAY(), G$4, "BETA_OVERRIDE_PERIOD=D")</f>
        <v>0.66350120000000001</v>
      </c>
      <c r="H14" s="1" cm="1">
        <f t="array" ref="H14">_xll.BDP($A14, "BETA_ADJ_OVERRIDABLE", "BETA_OVERRIDE_START_DT", _xll.BADDPERIODS(_xll.BTODAY(),"NUMBEROFPERIODS=-1","PER=Y"), "BETA_OVERRIDE_END_DT", _xll.BTODAY(), H$4, "BETA_OVERRIDE_PERIOD=D")</f>
        <v>0.61025770000000001</v>
      </c>
      <c r="I14" s="1" cm="1">
        <f t="array" ref="I14">_xll.BDP($A14, "BETA_ADJ_OVERRIDABLE", "BETA_OVERRIDE_START_DT", _xll.BADDPERIODS(_xll.BTODAY(),"NUMBEROFPERIODS=-1","PER=Y"), "BETA_OVERRIDE_END_DT", _xll.BTODAY(), I$4, "BETA_OVERRIDE_PERIOD=D")</f>
        <v>0.54571429999999999</v>
      </c>
      <c r="J14" s="1" cm="1">
        <f t="array" ref="J14">_xll.BDP($A14, "BETA_ADJ_OVERRIDABLE", "BETA_OVERRIDE_START_DT", _xll.BADDPERIODS(_xll.BTODAY(),"NUMBEROFPERIODS=-1","PER=Y"), "BETA_OVERRIDE_END_DT", _xll.BTODAY(), J$4, "BETA_OVERRIDE_PERIOD=D")</f>
        <v>0.85598549999999995</v>
      </c>
      <c r="K14" s="1" cm="1">
        <f t="array" ref="K14">_xll.BDP($A14, "BETA_ADJ_OVERRIDABLE", "BETA_OVERRIDE_START_DT", _xll.BADDPERIODS(_xll.BTODAY(),"NUMBEROFPERIODS=-1","PER=Y"), "BETA_OVERRIDE_END_DT", _xll.BTODAY(), K$4, "BETA_OVERRIDE_PERIOD=D")</f>
        <v>0.53632740000000001</v>
      </c>
      <c r="L14" s="1" cm="1">
        <f t="array" ref="L14">_xll.BDP($A14, "BETA_ADJ_OVERRIDABLE", "BETA_OVERRIDE_START_DT", _xll.BADDPERIODS(_xll.BTODAY(),"NUMBEROFPERIODS=-1","PER=Y"), "BETA_OVERRIDE_END_DT", _xll.BTODAY(), L$4, "BETA_OVERRIDE_PERIOD=D")</f>
        <v>0.4173268</v>
      </c>
      <c r="M14" s="1" cm="1">
        <f t="array" ref="M14">_xll.BDP($A14, "BETA_ADJ_OVERRIDABLE", "BETA_OVERRIDE_START_DT", _xll.BADDPERIODS(_xll.BTODAY(),"NUMBEROFPERIODS=-1","PER=Y"), "BETA_OVERRIDE_END_DT", _xll.BTODAY(), M$4, "BETA_OVERRIDE_PERIOD=D")</f>
        <v>0.37008249999999998</v>
      </c>
      <c r="N14" s="1" cm="1">
        <f t="array" ref="N14">_xll.BDP($A14, "BETA_ADJ_OVERRIDABLE", "BETA_OVERRIDE_START_DT", _xll.BADDPERIODS(_xll.BTODAY(),"NUMBEROFPERIODS=-1","PER=Y"), "BETA_OVERRIDE_END_DT", _xll.BTODAY(), N$4, "BETA_OVERRIDE_PERIOD=D")</f>
        <v>0.75878820000000002</v>
      </c>
      <c r="O14" s="1" cm="1">
        <f t="array" ref="O14">_xll.BDP($A14, "BETA_ADJ_OVERRIDABLE", "BETA_OVERRIDE_START_DT", _xll.BADDPERIODS(_xll.BTODAY(),"NUMBEROFPERIODS=-1","PER=Y"), "BETA_OVERRIDE_END_DT", _xll.BTODAY(), O$4, "BETA_OVERRIDE_PERIOD=D")</f>
        <v>0.37853379999999998</v>
      </c>
      <c r="P14" s="1" cm="1">
        <f t="array" ref="P14">_xll.BDP($A14, "BETA_ADJ_OVERRIDABLE", "BETA_OVERRIDE_START_DT", _xll.BADDPERIODS(_xll.BTODAY(),"NUMBEROFPERIODS=-1","PER=Y"), "BETA_OVERRIDE_END_DT", _xll.BTODAY(), P$4, "BETA_OVERRIDE_PERIOD=D")</f>
        <v>0.27249040000000002</v>
      </c>
      <c r="Q14" s="1" cm="1">
        <f t="array" ref="Q14">_xll.BDP($A14, "BETA_ADJ_OVERRIDABLE", "BETA_OVERRIDE_START_DT", _xll.BADDPERIODS(_xll.BTODAY(),"NUMBEROFPERIODS=-1","PER=Y"), "BETA_OVERRIDE_END_DT", _xll.BTODAY(), Q$4, "BETA_OVERRIDE_PERIOD=D")</f>
        <v>0.59142240000000001</v>
      </c>
      <c r="R14" s="1" cm="1">
        <f t="array" ref="R14">_xll.BDP($A14, "BETA_ADJ_OVERRIDABLE", "BETA_OVERRIDE_START_DT", _xll.BADDPERIODS(_xll.BTODAY(),"NUMBEROFPERIODS=-1","PER=Y"), "BETA_OVERRIDE_END_DT", _xll.BTODAY(), R$4, "BETA_OVERRIDE_PERIOD=D")</f>
        <v>0.84860590000000002</v>
      </c>
      <c r="S14" s="1" cm="1">
        <f t="array" ref="S14">_xll.BDP($A14, "BETA_ADJ_OVERRIDABLE", "BETA_OVERRIDE_START_DT", _xll.BADDPERIODS(_xll.BTODAY(),"NUMBEROFPERIODS=-1","PER=Y"), "BETA_OVERRIDE_END_DT", _xll.BTODAY(), S$4, "BETA_OVERRIDE_PERIOD=D")</f>
        <v>1.891589</v>
      </c>
      <c r="T14" s="1" cm="1">
        <f t="array" ref="T14">_xll.BDP($A14, "BETA_ADJ_OVERRIDABLE", "BETA_OVERRIDE_START_DT", _xll.BADDPERIODS(_xll.BTODAY(),"NUMBEROFPERIODS=-1","PER=Y"), "BETA_OVERRIDE_END_DT", _xll.BTODAY(), T$4, "BETA_OVERRIDE_PERIOD=D")</f>
        <v>0.48755039999999999</v>
      </c>
      <c r="U14" s="1" cm="1">
        <f t="array" ref="U14">_xll.BDP($A14, "BETA_ADJ_OVERRIDABLE", "BETA_OVERRIDE_START_DT", _xll.BADDPERIODS(_xll.BTODAY(),"NUMBEROFPERIODS=-1","PER=Y"), "BETA_OVERRIDE_END_DT", _xll.BTODAY(), U$4, "BETA_OVERRIDE_PERIOD=D")</f>
        <v>0.71481410000000001</v>
      </c>
      <c r="V14" s="1" cm="1">
        <f t="array" ref="V14">_xll.BDP($A14, "BETA_ADJ_OVERRIDABLE", "BETA_OVERRIDE_START_DT", _xll.BADDPERIODS(_xll.BTODAY(),"NUMBEROFPERIODS=-1","PER=Y"), "BETA_OVERRIDE_END_DT", _xll.BTODAY(), V$4, "BETA_OVERRIDE_PERIOD=D")</f>
        <v>0.95070770000000004</v>
      </c>
      <c r="W14" s="1" cm="1">
        <f t="array" ref="W14">_xll.BDP($A14, "BETA_ADJ_OVERRIDABLE", "BETA_OVERRIDE_START_DT", _xll.BADDPERIODS(_xll.BTODAY(),"NUMBEROFPERIODS=-1","PER=Y"), "BETA_OVERRIDE_END_DT", _xll.BTODAY(), W$4, "BETA_OVERRIDE_PERIOD=D")</f>
        <v>0.27249040000000002</v>
      </c>
      <c r="X14" s="1" cm="1">
        <f t="array" ref="X14">_xll.BDP($A14, "BETA_ADJ_OVERRIDABLE", "BETA_OVERRIDE_START_DT", _xll.BADDPERIODS(_xll.BTODAY(),"NUMBEROFPERIODS=-1","PER=Y"), "BETA_OVERRIDE_END_DT", _xll.BTODAY(), X$4, "BETA_OVERRIDE_PERIOD=D")</f>
        <v>0.3924589</v>
      </c>
      <c r="Y14" s="1" cm="1">
        <f t="array" ref="Y14">_xll.BDP($A14, "BETA_ADJ_OVERRIDABLE", "BETA_OVERRIDE_START_DT", _xll.BADDPERIODS(_xll.BTODAY(),"NUMBEROFPERIODS=-1","PER=Y"), "BETA_OVERRIDE_END_DT", _xll.BTODAY(), Y$4, "BETA_OVERRIDE_PERIOD=D")</f>
        <v>0.39721679999999998</v>
      </c>
      <c r="Z14" s="1" cm="1">
        <f t="array" ref="Z14">_xll.BDP($A14, "BETA_ADJ_OVERRIDABLE", "BETA_OVERRIDE_START_DT", _xll.BADDPERIODS(_xll.BTODAY(),"NUMBEROFPERIODS=-1","PER=Y"), "BETA_OVERRIDE_END_DT", _xll.BTODAY(), Z$4, "BETA_OVERRIDE_PERIOD=D")</f>
        <v>0.35286220000000001</v>
      </c>
      <c r="AA14" s="1" cm="1">
        <f t="array" ref="AA14">_xll.BDP($A14, "BETA_ADJ_OVERRIDABLE", "BETA_OVERRIDE_START_DT", _xll.BADDPERIODS(_xll.BTODAY(),"NUMBEROFPERIODS=-1","PER=Y"), "BETA_OVERRIDE_END_DT", _xll.BTODAY(), AA$4, "BETA_OVERRIDE_PERIOD=D")</f>
        <v>0.3817141</v>
      </c>
      <c r="AB14" s="1" cm="1">
        <f t="array" ref="AB14">_xll.BDP($A14, "BETA_ADJ_OVERRIDABLE", "BETA_OVERRIDE_START_DT", _xll.BADDPERIODS(_xll.BTODAY(),"NUMBEROFPERIODS=-1","PER=Y"), "BETA_OVERRIDE_END_DT", _xll.BTODAY(), AB$4, "BETA_OVERRIDE_PERIOD=D")</f>
        <v>0.53318829999999995</v>
      </c>
      <c r="AC14" s="1" cm="1">
        <f t="array" ref="AC14">_xll.BDP($A14, "BETA_ADJ_OVERRIDABLE", "BETA_OVERRIDE_START_DT", _xll.BADDPERIODS(_xll.BTODAY(),"NUMBEROFPERIODS=-1","PER=Y"), "BETA_OVERRIDE_END_DT", _xll.BTODAY(), AC$4, "BETA_OVERRIDE_PERIOD=D")</f>
        <v>0.44822529999999999</v>
      </c>
      <c r="AD14" s="1" cm="1">
        <f t="array" ref="AD14">_xll.BDP($A14, "BETA_ADJ_OVERRIDABLE", "BETA_OVERRIDE_START_DT", _xll.BADDPERIODS(_xll.BTODAY(),"NUMBEROFPERIODS=-1","PER=Y"), "BETA_OVERRIDE_END_DT", _xll.BTODAY(), AD$4, "BETA_OVERRIDE_PERIOD=D")</f>
        <v>0.33082600000000001</v>
      </c>
      <c r="AE14" s="1" cm="1">
        <f t="array" ref="AE14">_xll.BDP($A14, "BETA_ADJ_OVERRIDABLE", "BETA_OVERRIDE_START_DT", _xll.BADDPERIODS(_xll.BTODAY(),"NUMBEROFPERIODS=-1","PER=Y"), "BETA_OVERRIDE_END_DT", _xll.BTODAY(), AE$4, "BETA_OVERRIDE_PERIOD=D")</f>
        <v>0.29035430000000001</v>
      </c>
      <c r="AF14" s="1" cm="1">
        <f t="array" ref="AF14">_xll.BDP($A14, "BETA_ADJ_OVERRIDABLE", "BETA_OVERRIDE_START_DT", _xll.BADDPERIODS(_xll.BTODAY(),"NUMBEROFPERIODS=-1","PER=Y"), "BETA_OVERRIDE_END_DT", _xll.BTODAY(), AF$4, "BETA_OVERRIDE_PERIOD=D")</f>
        <v>0.37208390000000002</v>
      </c>
      <c r="AG14" s="1" cm="1">
        <f t="array" ref="AG14">_xll.BDP($A14, "BETA_ADJ_OVERRIDABLE", "BETA_OVERRIDE_START_DT", _xll.BADDPERIODS(_xll.BTODAY(),"NUMBEROFPERIODS=-1","PER=Y"), "BETA_OVERRIDE_END_DT", _xll.BTODAY(), AG$4, "BETA_OVERRIDE_PERIOD=D")</f>
        <v>0.50664379999999998</v>
      </c>
      <c r="AH14" s="1" cm="1">
        <f t="array" ref="AH14">_xll.BDP($A14, "BETA_ADJ_OVERRIDABLE", "BETA_OVERRIDE_START_DT", _xll.BADDPERIODS(_xll.BTODAY(),"NUMBEROFPERIODS=-1","PER=Y"), "BETA_OVERRIDE_END_DT", _xll.BTODAY(), AH$4, "BETA_OVERRIDE_PERIOD=D")</f>
        <v>0.2469298</v>
      </c>
      <c r="AI14" s="1" cm="1">
        <f t="array" ref="AI14">_xll.BDP($A14, "BETA_ADJ_OVERRIDABLE", "BETA_OVERRIDE_START_DT", _xll.BADDPERIODS(_xll.BTODAY(),"NUMBEROFPERIODS=-1","PER=Y"), "BETA_OVERRIDE_END_DT", _xll.BTODAY(), AI$4, "BETA_OVERRIDE_PERIOD=D")</f>
        <v>0.21677669999999999</v>
      </c>
      <c r="AJ14" s="1" cm="1">
        <f t="array" ref="AJ14">_xll.BDP($A14, "BETA_ADJ_OVERRIDABLE", "BETA_OVERRIDE_START_DT", _xll.BADDPERIODS(_xll.BTODAY(),"NUMBEROFPERIODS=-1","PER=Y"), "BETA_OVERRIDE_END_DT", _xll.BTODAY(), AJ$4, "BETA_OVERRIDE_PERIOD=D")</f>
        <v>0.39089200000000002</v>
      </c>
      <c r="AK14" s="1" cm="1">
        <f t="array" ref="AK14">_xll.BDP($A14, "BETA_ADJ_OVERRIDABLE", "BETA_OVERRIDE_START_DT", _xll.BADDPERIODS(_xll.BTODAY(),"NUMBEROFPERIODS=-1","PER=Y"), "BETA_OVERRIDE_END_DT", _xll.BTODAY(), AK$4, "BETA_OVERRIDE_PERIOD=D")</f>
        <v>0.36916880000000002</v>
      </c>
      <c r="AL14" s="1" cm="1">
        <f t="array" ref="AL14">_xll.BDP($A14, "BETA_ADJ_OVERRIDABLE", "BETA_OVERRIDE_START_DT", _xll.BADDPERIODS(_xll.BTODAY(),"NUMBEROFPERIODS=-1","PER=Y"), "BETA_OVERRIDE_END_DT", _xll.BTODAY(), AL$4, "BETA_OVERRIDE_PERIOD=D")</f>
        <v>0.37354710000000002</v>
      </c>
      <c r="AM14" s="1" cm="1">
        <f t="array" ref="AM14">_xll.BDP($A14, "BETA_ADJ_OVERRIDABLE", "BETA_OVERRIDE_START_DT", _xll.BADDPERIODS(_xll.BTODAY(),"NUMBEROFPERIODS=-1","PER=Y"), "BETA_OVERRIDE_END_DT", _xll.BTODAY(), AM$4, "BETA_OVERRIDE_PERIOD=D")</f>
        <v>0.72622900000000001</v>
      </c>
      <c r="AN14" s="1" cm="1">
        <f t="array" ref="AN14">_xll.BDP($A14, "BETA_ADJ_OVERRIDABLE", "BETA_OVERRIDE_START_DT", _xll.BADDPERIODS(_xll.BTODAY(),"NUMBEROFPERIODS=-1","PER=Y"), "BETA_OVERRIDE_END_DT", _xll.BTODAY(), AN$4, "BETA_OVERRIDE_PERIOD=D")</f>
        <v>0.81011060000000001</v>
      </c>
      <c r="AO14" s="1" cm="1">
        <f t="array" ref="AO14">_xll.BDP($A14, "BETA_ADJ_OVERRIDABLE", "BETA_OVERRIDE_START_DT", _xll.BADDPERIODS(_xll.BTODAY(),"NUMBEROFPERIODS=-1","PER=Y"), "BETA_OVERRIDE_END_DT", _xll.BTODAY(), AO$4, "BETA_OVERRIDE_PERIOD=D")</f>
        <v>0.7255568</v>
      </c>
    </row>
    <row r="15" spans="1:41" x14ac:dyDescent="0.25">
      <c r="A15" t="s">
        <v>51</v>
      </c>
      <c r="B15" s="1" cm="1">
        <f t="array" ref="B15">_xll.BDP($A15, B$4)</f>
        <v>0.93277969999999999</v>
      </c>
      <c r="C15" s="1" cm="1">
        <f t="array" ref="C15">_xll.BDP($A15, C$4)</f>
        <v>19.513760000000001</v>
      </c>
      <c r="D15" s="1" cm="1">
        <f t="array" ref="D15">_xll.BDP($A15, "BETA_ADJ_OVERRIDABLE", "BETA_OVERRIDE_START_DT", _xll.BADDPERIODS(_xll.BTODAY(),"NUMBEROFPERIODS=-5","PER=Y"), "BETA_OVERRIDE_END_DT", _xll.BTODAY(), D$4, "BETA_OVERRIDE_PERIOD=M")</f>
        <v>1.017727</v>
      </c>
      <c r="E15" s="1" cm="1">
        <f t="array" ref="E15">_xll.BDP($A15, "BETA_ADJ_OVERRIDABLE", "BETA_OVERRIDE_START_DT", _xll.BADDPERIODS(_xll.BTODAY(),"NUMBEROFPERIODS=-3","PER=Y"), "BETA_OVERRIDE_END_DT", _xll.BTODAY(), E$4, "BETA_OVERRIDE_PERIOD=W")</f>
        <v>0.96502429999999995</v>
      </c>
      <c r="F15" s="1" cm="1">
        <f t="array" ref="F15">_xll.BDP($A15, "BETA_ADJ_OVERRIDABLE", "BETA_OVERRIDE_START_DT", _xll.BADDPERIODS(_xll.BTODAY(),"NUMBEROFPERIODS=-1","PER=Y"), "BETA_OVERRIDE_END_DT", _xll.BTODAY(), F$4, "BETA_OVERRIDE_PERIOD=D")</f>
        <v>0.92068130000000004</v>
      </c>
      <c r="G15" s="1" cm="1">
        <f t="array" ref="G15">_xll.BDP($A15, "BETA_ADJ_OVERRIDABLE", "BETA_OVERRIDE_START_DT", _xll.BADDPERIODS(_xll.BTODAY(),"NUMBEROFPERIODS=-1","PER=Y"), "BETA_OVERRIDE_END_DT", _xll.BTODAY(), G$4, "BETA_OVERRIDE_PERIOD=D")</f>
        <v>0.86645700000000003</v>
      </c>
      <c r="H15" s="1" cm="1">
        <f t="array" ref="H15">_xll.BDP($A15, "BETA_ADJ_OVERRIDABLE", "BETA_OVERRIDE_START_DT", _xll.BADDPERIODS(_xll.BTODAY(),"NUMBEROFPERIODS=-1","PER=Y"), "BETA_OVERRIDE_END_DT", _xll.BTODAY(), H$4, "BETA_OVERRIDE_PERIOD=D")</f>
        <v>0.79479060000000001</v>
      </c>
      <c r="I15" s="1" cm="1">
        <f t="array" ref="I15">_xll.BDP($A15, "BETA_ADJ_OVERRIDABLE", "BETA_OVERRIDE_START_DT", _xll.BADDPERIODS(_xll.BTODAY(),"NUMBEROFPERIODS=-1","PER=Y"), "BETA_OVERRIDE_END_DT", _xll.BTODAY(), I$4, "BETA_OVERRIDE_PERIOD=D")</f>
        <v>0.76053570000000004</v>
      </c>
      <c r="J15" s="1" cm="1">
        <f t="array" ref="J15">_xll.BDP($A15, "BETA_ADJ_OVERRIDABLE", "BETA_OVERRIDE_START_DT", _xll.BADDPERIODS(_xll.BTODAY(),"NUMBEROFPERIODS=-1","PER=Y"), "BETA_OVERRIDE_END_DT", _xll.BTODAY(), J$4, "BETA_OVERRIDE_PERIOD=D")</f>
        <v>1.051796</v>
      </c>
      <c r="K15" s="1" cm="1">
        <f t="array" ref="K15">_xll.BDP($A15, "BETA_ADJ_OVERRIDABLE", "BETA_OVERRIDE_START_DT", _xll.BADDPERIODS(_xll.BTODAY(),"NUMBEROFPERIODS=-1","PER=Y"), "BETA_OVERRIDE_END_DT", _xll.BTODAY(), K$4, "BETA_OVERRIDE_PERIOD=D")</f>
        <v>0.75377879999999997</v>
      </c>
      <c r="L15" s="1" cm="1">
        <f t="array" ref="L15">_xll.BDP($A15, "BETA_ADJ_OVERRIDABLE", "BETA_OVERRIDE_START_DT", _xll.BADDPERIODS(_xll.BTODAY(),"NUMBEROFPERIODS=-1","PER=Y"), "BETA_OVERRIDE_END_DT", _xll.BTODAY(), L$4, "BETA_OVERRIDE_PERIOD=D")</f>
        <v>0.44983319999999999</v>
      </c>
      <c r="M15" s="1" cm="1">
        <f t="array" ref="M15">_xll.BDP($A15, "BETA_ADJ_OVERRIDABLE", "BETA_OVERRIDE_START_DT", _xll.BADDPERIODS(_xll.BTODAY(),"NUMBEROFPERIODS=-1","PER=Y"), "BETA_OVERRIDE_END_DT", _xll.BTODAY(), M$4, "BETA_OVERRIDE_PERIOD=D")</f>
        <v>0.41943170000000002</v>
      </c>
      <c r="N15" s="1" cm="1">
        <f t="array" ref="N15">_xll.BDP($A15, "BETA_ADJ_OVERRIDABLE", "BETA_OVERRIDE_START_DT", _xll.BADDPERIODS(_xll.BTODAY(),"NUMBEROFPERIODS=-1","PER=Y"), "BETA_OVERRIDE_END_DT", _xll.BTODAY(), N$4, "BETA_OVERRIDE_PERIOD=D")</f>
        <v>1.0548070000000001</v>
      </c>
      <c r="O15" s="1" cm="1">
        <f t="array" ref="O15">_xll.BDP($A15, "BETA_ADJ_OVERRIDABLE", "BETA_OVERRIDE_START_DT", _xll.BADDPERIODS(_xll.BTODAY(),"NUMBEROFPERIODS=-1","PER=Y"), "BETA_OVERRIDE_END_DT", _xll.BTODAY(), O$4, "BETA_OVERRIDE_PERIOD=D")</f>
        <v>0.47039039999999999</v>
      </c>
      <c r="P15" s="1" cm="1">
        <f t="array" ref="P15">_xll.BDP($A15, "BETA_ADJ_OVERRIDABLE", "BETA_OVERRIDE_START_DT", _xll.BADDPERIODS(_xll.BTODAY(),"NUMBEROFPERIODS=-1","PER=Y"), "BETA_OVERRIDE_END_DT", _xll.BTODAY(), P$4, "BETA_OVERRIDE_PERIOD=D")</f>
        <v>0.32047419999999999</v>
      </c>
      <c r="Q15" s="1" cm="1">
        <f t="array" ref="Q15">_xll.BDP($A15, "BETA_ADJ_OVERRIDABLE", "BETA_OVERRIDE_START_DT", _xll.BADDPERIODS(_xll.BTODAY(),"NUMBEROFPERIODS=-1","PER=Y"), "BETA_OVERRIDE_END_DT", _xll.BTODAY(), Q$4, "BETA_OVERRIDE_PERIOD=D")</f>
        <v>0.37281629999999999</v>
      </c>
      <c r="R15" s="1" cm="1">
        <f t="array" ref="R15">_xll.BDP($A15, "BETA_ADJ_OVERRIDABLE", "BETA_OVERRIDE_START_DT", _xll.BADDPERIODS(_xll.BTODAY(),"NUMBEROFPERIODS=-1","PER=Y"), "BETA_OVERRIDE_END_DT", _xll.BTODAY(), R$4, "BETA_OVERRIDE_PERIOD=D")</f>
        <v>0.88907970000000003</v>
      </c>
      <c r="S15" s="1" cm="1">
        <f t="array" ref="S15">_xll.BDP($A15, "BETA_ADJ_OVERRIDABLE", "BETA_OVERRIDE_START_DT", _xll.BADDPERIODS(_xll.BTODAY(),"NUMBEROFPERIODS=-1","PER=Y"), "BETA_OVERRIDE_END_DT", _xll.BTODAY(), S$4, "BETA_OVERRIDE_PERIOD=D")</f>
        <v>2.8403320000000001</v>
      </c>
      <c r="T15" s="1" cm="1">
        <f t="array" ref="T15">_xll.BDP($A15, "BETA_ADJ_OVERRIDABLE", "BETA_OVERRIDE_START_DT", _xll.BADDPERIODS(_xll.BTODAY(),"NUMBEROFPERIODS=-1","PER=Y"), "BETA_OVERRIDE_END_DT", _xll.BTODAY(), T$4, "BETA_OVERRIDE_PERIOD=D")</f>
        <v>0.33705000000000002</v>
      </c>
      <c r="U15" s="1" cm="1">
        <f t="array" ref="U15">_xll.BDP($A15, "BETA_ADJ_OVERRIDABLE", "BETA_OVERRIDE_START_DT", _xll.BADDPERIODS(_xll.BTODAY(),"NUMBEROFPERIODS=-1","PER=Y"), "BETA_OVERRIDE_END_DT", _xll.BTODAY(), U$4, "BETA_OVERRIDE_PERIOD=D")</f>
        <v>0.85996850000000002</v>
      </c>
      <c r="V15" s="1" cm="1">
        <f t="array" ref="V15">_xll.BDP($A15, "BETA_ADJ_OVERRIDABLE", "BETA_OVERRIDE_START_DT", _xll.BADDPERIODS(_xll.BTODAY(),"NUMBEROFPERIODS=-1","PER=Y"), "BETA_OVERRIDE_END_DT", _xll.BTODAY(), V$4, "BETA_OVERRIDE_PERIOD=D")</f>
        <v>0.8041954</v>
      </c>
      <c r="W15" s="1" cm="1">
        <f t="array" ref="W15">_xll.BDP($A15, "BETA_ADJ_OVERRIDABLE", "BETA_OVERRIDE_START_DT", _xll.BADDPERIODS(_xll.BTODAY(),"NUMBEROFPERIODS=-1","PER=Y"), "BETA_OVERRIDE_END_DT", _xll.BTODAY(), W$4, "BETA_OVERRIDE_PERIOD=D")</f>
        <v>0.32047419999999999</v>
      </c>
      <c r="X15" s="1" cm="1">
        <f t="array" ref="X15">_xll.BDP($A15, "BETA_ADJ_OVERRIDABLE", "BETA_OVERRIDE_START_DT", _xll.BADDPERIODS(_xll.BTODAY(),"NUMBEROFPERIODS=-1","PER=Y"), "BETA_OVERRIDE_END_DT", _xll.BTODAY(), X$4, "BETA_OVERRIDE_PERIOD=D")</f>
        <v>0.40270590000000001</v>
      </c>
      <c r="Y15" s="1" cm="1">
        <f t="array" ref="Y15">_xll.BDP($A15, "BETA_ADJ_OVERRIDABLE", "BETA_OVERRIDE_START_DT", _xll.BADDPERIODS(_xll.BTODAY(),"NUMBEROFPERIODS=-1","PER=Y"), "BETA_OVERRIDE_END_DT", _xll.BTODAY(), Y$4, "BETA_OVERRIDE_PERIOD=D")</f>
        <v>0.41061819999999999</v>
      </c>
      <c r="Z15" s="1" cm="1">
        <f t="array" ref="Z15">_xll.BDP($A15, "BETA_ADJ_OVERRIDABLE", "BETA_OVERRIDE_START_DT", _xll.BADDPERIODS(_xll.BTODAY(),"NUMBEROFPERIODS=-1","PER=Y"), "BETA_OVERRIDE_END_DT", _xll.BTODAY(), Z$4, "BETA_OVERRIDE_PERIOD=D")</f>
        <v>0.35452280000000003</v>
      </c>
      <c r="AA15" s="1" cm="1">
        <f t="array" ref="AA15">_xll.BDP($A15, "BETA_ADJ_OVERRIDABLE", "BETA_OVERRIDE_START_DT", _xll.BADDPERIODS(_xll.BTODAY(),"NUMBEROFPERIODS=-1","PER=Y"), "BETA_OVERRIDE_END_DT", _xll.BTODAY(), AA$4, "BETA_OVERRIDE_PERIOD=D")</f>
        <v>0.39152999999999999</v>
      </c>
      <c r="AB15" s="1" cm="1">
        <f t="array" ref="AB15">_xll.BDP($A15, "BETA_ADJ_OVERRIDABLE", "BETA_OVERRIDE_START_DT", _xll.BADDPERIODS(_xll.BTODAY(),"NUMBEROFPERIODS=-1","PER=Y"), "BETA_OVERRIDE_END_DT", _xll.BTODAY(), AB$4, "BETA_OVERRIDE_PERIOD=D")</f>
        <v>0.58407900000000001</v>
      </c>
      <c r="AC15" s="1" cm="1">
        <f t="array" ref="AC15">_xll.BDP($A15, "BETA_ADJ_OVERRIDABLE", "BETA_OVERRIDE_START_DT", _xll.BADDPERIODS(_xll.BTODAY(),"NUMBEROFPERIODS=-1","PER=Y"), "BETA_OVERRIDE_END_DT", _xll.BTODAY(), AC$4, "BETA_OVERRIDE_PERIOD=D")</f>
        <v>0.4968649</v>
      </c>
      <c r="AD15" s="1" cm="1">
        <f t="array" ref="AD15">_xll.BDP($A15, "BETA_ADJ_OVERRIDABLE", "BETA_OVERRIDE_START_DT", _xll.BADDPERIODS(_xll.BTODAY(),"NUMBEROFPERIODS=-1","PER=Y"), "BETA_OVERRIDE_END_DT", _xll.BTODAY(), AD$4, "BETA_OVERRIDE_PERIOD=D")</f>
        <v>0.40349220000000002</v>
      </c>
      <c r="AE15" s="1" cm="1">
        <f t="array" ref="AE15">_xll.BDP($A15, "BETA_ADJ_OVERRIDABLE", "BETA_OVERRIDE_START_DT", _xll.BADDPERIODS(_xll.BTODAY(),"NUMBEROFPERIODS=-1","PER=Y"), "BETA_OVERRIDE_END_DT", _xll.BTODAY(), AE$4, "BETA_OVERRIDE_PERIOD=D")</f>
        <v>0.2175744</v>
      </c>
      <c r="AF15" s="1" cm="1">
        <f t="array" ref="AF15">_xll.BDP($A15, "BETA_ADJ_OVERRIDABLE", "BETA_OVERRIDE_START_DT", _xll.BADDPERIODS(_xll.BTODAY(),"NUMBEROFPERIODS=-1","PER=Y"), "BETA_OVERRIDE_END_DT", _xll.BTODAY(), AF$4, "BETA_OVERRIDE_PERIOD=D")</f>
        <v>0.55099260000000005</v>
      </c>
      <c r="AG15" s="1" cm="1">
        <f t="array" ref="AG15">_xll.BDP($A15, "BETA_ADJ_OVERRIDABLE", "BETA_OVERRIDE_START_DT", _xll.BADDPERIODS(_xll.BTODAY(),"NUMBEROFPERIODS=-1","PER=Y"), "BETA_OVERRIDE_END_DT", _xll.BTODAY(), AG$4, "BETA_OVERRIDE_PERIOD=D")</f>
        <v>0.53310630000000003</v>
      </c>
      <c r="AH15" s="1" cm="1">
        <f t="array" ref="AH15">_xll.BDP($A15, "BETA_ADJ_OVERRIDABLE", "BETA_OVERRIDE_START_DT", _xll.BADDPERIODS(_xll.BTODAY(),"NUMBEROFPERIODS=-1","PER=Y"), "BETA_OVERRIDE_END_DT", _xll.BTODAY(), AH$4, "BETA_OVERRIDE_PERIOD=D")</f>
        <v>0.21887670000000001</v>
      </c>
      <c r="AI15" s="1" cm="1">
        <f t="array" ref="AI15">_xll.BDP($A15, "BETA_ADJ_OVERRIDABLE", "BETA_OVERRIDE_START_DT", _xll.BADDPERIODS(_xll.BTODAY(),"NUMBEROFPERIODS=-1","PER=Y"), "BETA_OVERRIDE_END_DT", _xll.BTODAY(), AI$4, "BETA_OVERRIDE_PERIOD=D")</f>
        <v>0.2474152</v>
      </c>
      <c r="AJ15" s="1" cm="1">
        <f t="array" ref="AJ15">_xll.BDP($A15, "BETA_ADJ_OVERRIDABLE", "BETA_OVERRIDE_START_DT", _xll.BADDPERIODS(_xll.BTODAY(),"NUMBEROFPERIODS=-1","PER=Y"), "BETA_OVERRIDE_END_DT", _xll.BTODAY(), AJ$4, "BETA_OVERRIDE_PERIOD=D")</f>
        <v>0.45845259999999999</v>
      </c>
      <c r="AK15" s="1" cm="1">
        <f t="array" ref="AK15">_xll.BDP($A15, "BETA_ADJ_OVERRIDABLE", "BETA_OVERRIDE_START_DT", _xll.BADDPERIODS(_xll.BTODAY(),"NUMBEROFPERIODS=-1","PER=Y"), "BETA_OVERRIDE_END_DT", _xll.BTODAY(), AK$4, "BETA_OVERRIDE_PERIOD=D")</f>
        <v>0.41000730000000002</v>
      </c>
      <c r="AL15" s="1" cm="1">
        <f t="array" ref="AL15">_xll.BDP($A15, "BETA_ADJ_OVERRIDABLE", "BETA_OVERRIDE_START_DT", _xll.BADDPERIODS(_xll.BTODAY(),"NUMBEROFPERIODS=-1","PER=Y"), "BETA_OVERRIDE_END_DT", _xll.BTODAY(), AL$4, "BETA_OVERRIDE_PERIOD=D")</f>
        <v>0.4238999</v>
      </c>
      <c r="AM15" s="1" cm="1">
        <f t="array" ref="AM15">_xll.BDP($A15, "BETA_ADJ_OVERRIDABLE", "BETA_OVERRIDE_START_DT", _xll.BADDPERIODS(_xll.BTODAY(),"NUMBEROFPERIODS=-1","PER=Y"), "BETA_OVERRIDE_END_DT", _xll.BTODAY(), AM$4, "BETA_OVERRIDE_PERIOD=D")</f>
        <v>0.83047769999999999</v>
      </c>
      <c r="AN15" s="1" cm="1">
        <f t="array" ref="AN15">_xll.BDP($A15, "BETA_ADJ_OVERRIDABLE", "BETA_OVERRIDE_START_DT", _xll.BADDPERIODS(_xll.BTODAY(),"NUMBEROFPERIODS=-1","PER=Y"), "BETA_OVERRIDE_END_DT", _xll.BTODAY(), AN$4, "BETA_OVERRIDE_PERIOD=D")</f>
        <v>0.91780099999999998</v>
      </c>
      <c r="AO15" s="1" cm="1">
        <f t="array" ref="AO15">_xll.BDP($A15, "BETA_ADJ_OVERRIDABLE", "BETA_OVERRIDE_START_DT", _xll.BADDPERIODS(_xll.BTODAY(),"NUMBEROFPERIODS=-1","PER=Y"), "BETA_OVERRIDE_END_DT", _xll.BTODAY(), AO$4, "BETA_OVERRIDE_PERIOD=D")</f>
        <v>0.90474880000000002</v>
      </c>
    </row>
    <row r="16" spans="1:41" x14ac:dyDescent="0.25">
      <c r="A16" t="s">
        <v>52</v>
      </c>
      <c r="B16" s="1" cm="1">
        <f t="array" ref="B16">_xll.BDP($A16, B$4)</f>
        <v>0.8077259</v>
      </c>
      <c r="C16" s="1" cm="1">
        <f t="array" ref="C16">_xll.BDP($A16, C$4)</f>
        <v>24.423179999999999</v>
      </c>
      <c r="D16" s="1" cm="1">
        <f t="array" ref="D16">_xll.BDP($A16, "BETA_ADJ_OVERRIDABLE", "BETA_OVERRIDE_START_DT", _xll.BADDPERIODS(_xll.BTODAY(),"NUMBEROFPERIODS=-5","PER=Y"), "BETA_OVERRIDE_END_DT", _xll.BTODAY(), D$4, "BETA_OVERRIDE_PERIOD=M")</f>
        <v>1.0775049999999999</v>
      </c>
      <c r="E16" s="1" cm="1">
        <f t="array" ref="E16">_xll.BDP($A16, "BETA_ADJ_OVERRIDABLE", "BETA_OVERRIDE_START_DT", _xll.BADDPERIODS(_xll.BTODAY(),"NUMBEROFPERIODS=-3","PER=Y"), "BETA_OVERRIDE_END_DT", _xll.BTODAY(), E$4, "BETA_OVERRIDE_PERIOD=W")</f>
        <v>1.1091960000000001</v>
      </c>
      <c r="F16" s="1" cm="1">
        <f t="array" ref="F16">_xll.BDP($A16, "BETA_ADJ_OVERRIDABLE", "BETA_OVERRIDE_START_DT", _xll.BADDPERIODS(_xll.BTODAY(),"NUMBEROFPERIODS=-1","PER=Y"), "BETA_OVERRIDE_END_DT", _xll.BTODAY(), F$4, "BETA_OVERRIDE_PERIOD=D")</f>
        <v>1.113499</v>
      </c>
      <c r="G16" s="1" cm="1">
        <f t="array" ref="G16">_xll.BDP($A16, "BETA_ADJ_OVERRIDABLE", "BETA_OVERRIDE_START_DT", _xll.BADDPERIODS(_xll.BTODAY(),"NUMBEROFPERIODS=-1","PER=Y"), "BETA_OVERRIDE_END_DT", _xll.BTODAY(), G$4, "BETA_OVERRIDE_PERIOD=D")</f>
        <v>0.93178329999999998</v>
      </c>
      <c r="H16" s="1" cm="1">
        <f t="array" ref="H16">_xll.BDP($A16, "BETA_ADJ_OVERRIDABLE", "BETA_OVERRIDE_START_DT", _xll.BADDPERIODS(_xll.BTODAY(),"NUMBEROFPERIODS=-1","PER=Y"), "BETA_OVERRIDE_END_DT", _xll.BTODAY(), H$4, "BETA_OVERRIDE_PERIOD=D")</f>
        <v>0.85942249999999998</v>
      </c>
      <c r="I16" s="1" cm="1">
        <f t="array" ref="I16">_xll.BDP($A16, "BETA_ADJ_OVERRIDABLE", "BETA_OVERRIDE_START_DT", _xll.BADDPERIODS(_xll.BTODAY(),"NUMBEROFPERIODS=-1","PER=Y"), "BETA_OVERRIDE_END_DT", _xll.BTODAY(), I$4, "BETA_OVERRIDE_PERIOD=D")</f>
        <v>0.95736480000000002</v>
      </c>
      <c r="J16" s="1" cm="1">
        <f t="array" ref="J16">_xll.BDP($A16, "BETA_ADJ_OVERRIDABLE", "BETA_OVERRIDE_START_DT", _xll.BADDPERIODS(_xll.BTODAY(),"NUMBEROFPERIODS=-1","PER=Y"), "BETA_OVERRIDE_END_DT", _xll.BTODAY(), J$4, "BETA_OVERRIDE_PERIOD=D")</f>
        <v>1.0966739999999999</v>
      </c>
      <c r="K16" s="1" cm="1">
        <f t="array" ref="K16">_xll.BDP($A16, "BETA_ADJ_OVERRIDABLE", "BETA_OVERRIDE_START_DT", _xll.BADDPERIODS(_xll.BTODAY(),"NUMBEROFPERIODS=-1","PER=Y"), "BETA_OVERRIDE_END_DT", _xll.BTODAY(), K$4, "BETA_OVERRIDE_PERIOD=D")</f>
        <v>0.95885469999999995</v>
      </c>
      <c r="L16" s="1" cm="1">
        <f t="array" ref="L16">_xll.BDP($A16, "BETA_ADJ_OVERRIDABLE", "BETA_OVERRIDE_START_DT", _xll.BADDPERIODS(_xll.BTODAY(),"NUMBEROFPERIODS=-1","PER=Y"), "BETA_OVERRIDE_END_DT", _xll.BTODAY(), L$4, "BETA_OVERRIDE_PERIOD=D")</f>
        <v>0.41665999999999997</v>
      </c>
      <c r="M16" s="1" cm="1">
        <f t="array" ref="M16">_xll.BDP($A16, "BETA_ADJ_OVERRIDABLE", "BETA_OVERRIDE_START_DT", _xll.BADDPERIODS(_xll.BTODAY(),"NUMBEROFPERIODS=-1","PER=Y"), "BETA_OVERRIDE_END_DT", _xll.BTODAY(), M$4, "BETA_OVERRIDE_PERIOD=D")</f>
        <v>0.43454979999999999</v>
      </c>
      <c r="N16" s="1" cm="1">
        <f t="array" ref="N16">_xll.BDP($A16, "BETA_ADJ_OVERRIDABLE", "BETA_OVERRIDE_START_DT", _xll.BADDPERIODS(_xll.BTODAY(),"NUMBEROFPERIODS=-1","PER=Y"), "BETA_OVERRIDE_END_DT", _xll.BTODAY(), N$4, "BETA_OVERRIDE_PERIOD=D")</f>
        <v>1.267668</v>
      </c>
      <c r="O16" s="1" cm="1">
        <f t="array" ref="O16">_xll.BDP($A16, "BETA_ADJ_OVERRIDABLE", "BETA_OVERRIDE_START_DT", _xll.BADDPERIODS(_xll.BTODAY(),"NUMBEROFPERIODS=-1","PER=Y"), "BETA_OVERRIDE_END_DT", _xll.BTODAY(), O$4, "BETA_OVERRIDE_PERIOD=D")</f>
        <v>0.57389310000000004</v>
      </c>
      <c r="P16" s="1" cm="1">
        <f t="array" ref="P16">_xll.BDP($A16, "BETA_ADJ_OVERRIDABLE", "BETA_OVERRIDE_START_DT", _xll.BADDPERIODS(_xll.BTODAY(),"NUMBEROFPERIODS=-1","PER=Y"), "BETA_OVERRIDE_END_DT", _xll.BTODAY(), P$4, "BETA_OVERRIDE_PERIOD=D")</f>
        <v>0.40139399999999997</v>
      </c>
      <c r="Q16" s="1" cm="1">
        <f t="array" ref="Q16">_xll.BDP($A16, "BETA_ADJ_OVERRIDABLE", "BETA_OVERRIDE_START_DT", _xll.BADDPERIODS(_xll.BTODAY(),"NUMBEROFPERIODS=-1","PER=Y"), "BETA_OVERRIDE_END_DT", _xll.BTODAY(), Q$4, "BETA_OVERRIDE_PERIOD=D")</f>
        <v>7.3948379999999999E-3</v>
      </c>
      <c r="R16" s="1" cm="1">
        <f t="array" ref="R16">_xll.BDP($A16, "BETA_ADJ_OVERRIDABLE", "BETA_OVERRIDE_START_DT", _xll.BADDPERIODS(_xll.BTODAY(),"NUMBEROFPERIODS=-1","PER=Y"), "BETA_OVERRIDE_END_DT", _xll.BTODAY(), R$4, "BETA_OVERRIDE_PERIOD=D")</f>
        <v>0.70435519999999996</v>
      </c>
      <c r="S16" s="1" cm="1">
        <f t="array" ref="S16">_xll.BDP($A16, "BETA_ADJ_OVERRIDABLE", "BETA_OVERRIDE_START_DT", _xll.BADDPERIODS(_xll.BTODAY(),"NUMBEROFPERIODS=-1","PER=Y"), "BETA_OVERRIDE_END_DT", _xll.BTODAY(), S$4, "BETA_OVERRIDE_PERIOD=D")</f>
        <v>3.241196</v>
      </c>
      <c r="T16" s="1" cm="1">
        <f t="array" ref="T16">_xll.BDP($A16, "BETA_ADJ_OVERRIDABLE", "BETA_OVERRIDE_START_DT", _xll.BADDPERIODS(_xll.BTODAY(),"NUMBEROFPERIODS=-1","PER=Y"), "BETA_OVERRIDE_END_DT", _xll.BTODAY(), T$4, "BETA_OVERRIDE_PERIOD=D")</f>
        <v>5.8524609999999998E-2</v>
      </c>
      <c r="U16" s="1" cm="1">
        <f t="array" ref="U16">_xll.BDP($A16, "BETA_ADJ_OVERRIDABLE", "BETA_OVERRIDE_START_DT", _xll.BADDPERIODS(_xll.BTODAY(),"NUMBEROFPERIODS=-1","PER=Y"), "BETA_OVERRIDE_END_DT", _xll.BTODAY(), U$4, "BETA_OVERRIDE_PERIOD=D")</f>
        <v>0.7674221</v>
      </c>
      <c r="V16" s="1" cm="1">
        <f t="array" ref="V16">_xll.BDP($A16, "BETA_ADJ_OVERRIDABLE", "BETA_OVERRIDE_START_DT", _xll.BADDPERIODS(_xll.BTODAY(),"NUMBEROFPERIODS=-1","PER=Y"), "BETA_OVERRIDE_END_DT", _xll.BTODAY(), V$4, "BETA_OVERRIDE_PERIOD=D")</f>
        <v>0.51722100000000004</v>
      </c>
      <c r="W16" s="1" cm="1">
        <f t="array" ref="W16">_xll.BDP($A16, "BETA_ADJ_OVERRIDABLE", "BETA_OVERRIDE_START_DT", _xll.BADDPERIODS(_xll.BTODAY(),"NUMBEROFPERIODS=-1","PER=Y"), "BETA_OVERRIDE_END_DT", _xll.BTODAY(), W$4, "BETA_OVERRIDE_PERIOD=D")</f>
        <v>0.40139399999999997</v>
      </c>
      <c r="X16" s="1" cm="1">
        <f t="array" ref="X16">_xll.BDP($A16, "BETA_ADJ_OVERRIDABLE", "BETA_OVERRIDE_START_DT", _xll.BADDPERIODS(_xll.BTODAY(),"NUMBEROFPERIODS=-1","PER=Y"), "BETA_OVERRIDE_END_DT", _xll.BTODAY(), X$4, "BETA_OVERRIDE_PERIOD=D")</f>
        <v>0.44272240000000002</v>
      </c>
      <c r="Y16" s="1" cm="1">
        <f t="array" ref="Y16">_xll.BDP($A16, "BETA_ADJ_OVERRIDABLE", "BETA_OVERRIDE_START_DT", _xll.BADDPERIODS(_xll.BTODAY(),"NUMBEROFPERIODS=-1","PER=Y"), "BETA_OVERRIDE_END_DT", _xll.BTODAY(), Y$4, "BETA_OVERRIDE_PERIOD=D")</f>
        <v>0.45123229999999998</v>
      </c>
      <c r="Z16" s="1" cm="1">
        <f t="array" ref="Z16">_xll.BDP($A16, "BETA_ADJ_OVERRIDABLE", "BETA_OVERRIDE_START_DT", _xll.BADDPERIODS(_xll.BTODAY(),"NUMBEROFPERIODS=-1","PER=Y"), "BETA_OVERRIDE_END_DT", _xll.BTODAY(), Z$4, "BETA_OVERRIDE_PERIOD=D")</f>
        <v>0.35373009999999999</v>
      </c>
      <c r="AA16" s="1" cm="1">
        <f t="array" ref="AA16">_xll.BDP($A16, "BETA_ADJ_OVERRIDABLE", "BETA_OVERRIDE_START_DT", _xll.BADDPERIODS(_xll.BTODAY(),"NUMBEROFPERIODS=-1","PER=Y"), "BETA_OVERRIDE_END_DT", _xll.BTODAY(), AA$4, "BETA_OVERRIDE_PERIOD=D")</f>
        <v>0.39057330000000001</v>
      </c>
      <c r="AB16" s="1" cm="1">
        <f t="array" ref="AB16">_xll.BDP($A16, "BETA_ADJ_OVERRIDABLE", "BETA_OVERRIDE_START_DT", _xll.BADDPERIODS(_xll.BTODAY(),"NUMBEROFPERIODS=-1","PER=Y"), "BETA_OVERRIDE_END_DT", _xll.BTODAY(), AB$4, "BETA_OVERRIDE_PERIOD=D")</f>
        <v>0.65052639999999995</v>
      </c>
      <c r="AC16" s="1" cm="1">
        <f t="array" ref="AC16">_xll.BDP($A16, "BETA_ADJ_OVERRIDABLE", "BETA_OVERRIDE_START_DT", _xll.BADDPERIODS(_xll.BTODAY(),"NUMBEROFPERIODS=-1","PER=Y"), "BETA_OVERRIDE_END_DT", _xll.BTODAY(), AC$4, "BETA_OVERRIDE_PERIOD=D")</f>
        <v>0.53028470000000005</v>
      </c>
      <c r="AD16" s="1" cm="1">
        <f t="array" ref="AD16">_xll.BDP($A16, "BETA_ADJ_OVERRIDABLE", "BETA_OVERRIDE_START_DT", _xll.BADDPERIODS(_xll.BTODAY(),"NUMBEROFPERIODS=-1","PER=Y"), "BETA_OVERRIDE_END_DT", _xll.BTODAY(), AD$4, "BETA_OVERRIDE_PERIOD=D")</f>
        <v>0.54892439999999998</v>
      </c>
      <c r="AE16" s="1" cm="1">
        <f t="array" ref="AE16">_xll.BDP($A16, "BETA_ADJ_OVERRIDABLE", "BETA_OVERRIDE_START_DT", _xll.BADDPERIODS(_xll.BTODAY(),"NUMBEROFPERIODS=-1","PER=Y"), "BETA_OVERRIDE_END_DT", _xll.BTODAY(), AE$4, "BETA_OVERRIDE_PERIOD=D")</f>
        <v>9.6483050000000001E-2</v>
      </c>
      <c r="AF16" s="1" cm="1">
        <f t="array" ref="AF16">_xll.BDP($A16, "BETA_ADJ_OVERRIDABLE", "BETA_OVERRIDE_START_DT", _xll.BADDPERIODS(_xll.BTODAY(),"NUMBEROFPERIODS=-1","PER=Y"), "BETA_OVERRIDE_END_DT", _xll.BTODAY(), AF$4, "BETA_OVERRIDE_PERIOD=D")</f>
        <v>0.76232900000000003</v>
      </c>
      <c r="AG16" s="1" cm="1">
        <f t="array" ref="AG16">_xll.BDP($A16, "BETA_ADJ_OVERRIDABLE", "BETA_OVERRIDE_START_DT", _xll.BADDPERIODS(_xll.BTODAY(),"NUMBEROFPERIODS=-1","PER=Y"), "BETA_OVERRIDE_END_DT", _xll.BTODAY(), AG$4, "BETA_OVERRIDE_PERIOD=D")</f>
        <v>0.48872090000000001</v>
      </c>
      <c r="AH16" s="1" cm="1">
        <f t="array" ref="AH16">_xll.BDP($A16, "BETA_ADJ_OVERRIDABLE", "BETA_OVERRIDE_START_DT", _xll.BADDPERIODS(_xll.BTODAY(),"NUMBEROFPERIODS=-1","PER=Y"), "BETA_OVERRIDE_END_DT", _xll.BTODAY(), AH$4, "BETA_OVERRIDE_PERIOD=D")</f>
        <v>0.15238360000000001</v>
      </c>
      <c r="AI16" s="1" cm="1">
        <f t="array" ref="AI16">_xll.BDP($A16, "BETA_ADJ_OVERRIDABLE", "BETA_OVERRIDE_START_DT", _xll.BADDPERIODS(_xll.BTODAY(),"NUMBEROFPERIODS=-1","PER=Y"), "BETA_OVERRIDE_END_DT", _xll.BTODAY(), AI$4, "BETA_OVERRIDE_PERIOD=D")</f>
        <v>0.1242201</v>
      </c>
      <c r="AJ16" s="1" cm="1">
        <f t="array" ref="AJ16">_xll.BDP($A16, "BETA_ADJ_OVERRIDABLE", "BETA_OVERRIDE_START_DT", _xll.BADDPERIODS(_xll.BTODAY(),"NUMBEROFPERIODS=-1","PER=Y"), "BETA_OVERRIDE_END_DT", _xll.BTODAY(), AJ$4, "BETA_OVERRIDE_PERIOD=D")</f>
        <v>0.49497400000000003</v>
      </c>
      <c r="AK16" s="1" cm="1">
        <f t="array" ref="AK16">_xll.BDP($A16, "BETA_ADJ_OVERRIDABLE", "BETA_OVERRIDE_START_DT", _xll.BADDPERIODS(_xll.BTODAY(),"NUMBEROFPERIODS=-1","PER=Y"), "BETA_OVERRIDE_END_DT", _xll.BTODAY(), AK$4, "BETA_OVERRIDE_PERIOD=D")</f>
        <v>0.43675720000000001</v>
      </c>
      <c r="AL16" s="1" cm="1">
        <f t="array" ref="AL16">_xll.BDP($A16, "BETA_ADJ_OVERRIDABLE", "BETA_OVERRIDE_START_DT", _xll.BADDPERIODS(_xll.BTODAY(),"NUMBEROFPERIODS=-1","PER=Y"), "BETA_OVERRIDE_END_DT", _xll.BTODAY(), AL$4, "BETA_OVERRIDE_PERIOD=D")</f>
        <v>0.45018229999999998</v>
      </c>
      <c r="AM16" s="1" cm="1">
        <f t="array" ref="AM16">_xll.BDP($A16, "BETA_ADJ_OVERRIDABLE", "BETA_OVERRIDE_START_DT", _xll.BADDPERIODS(_xll.BTODAY(),"NUMBEROFPERIODS=-1","PER=Y"), "BETA_OVERRIDE_END_DT", _xll.BTODAY(), AM$4, "BETA_OVERRIDE_PERIOD=D")</f>
        <v>0.79285499999999998</v>
      </c>
      <c r="AN16" s="1" cm="1">
        <f t="array" ref="AN16">_xll.BDP($A16, "BETA_ADJ_OVERRIDABLE", "BETA_OVERRIDE_START_DT", _xll.BADDPERIODS(_xll.BTODAY(),"NUMBEROFPERIODS=-1","PER=Y"), "BETA_OVERRIDE_END_DT", _xll.BTODAY(), AN$4, "BETA_OVERRIDE_PERIOD=D")</f>
        <v>0.83871810000000002</v>
      </c>
      <c r="AO16" s="1" cm="1">
        <f t="array" ref="AO16">_xll.BDP($A16, "BETA_ADJ_OVERRIDABLE", "BETA_OVERRIDE_START_DT", _xll.BADDPERIODS(_xll.BTODAY(),"NUMBEROFPERIODS=-1","PER=Y"), "BETA_OVERRIDE_END_DT", _xll.BTODAY(), AO$4, "BETA_OVERRIDE_PERIOD=D")</f>
        <v>0.91999439999999999</v>
      </c>
    </row>
    <row r="17" spans="1:41" x14ac:dyDescent="0.25">
      <c r="A17" t="s">
        <v>53</v>
      </c>
      <c r="B17" s="1" cm="1">
        <f t="array" ref="B17">_xll.BDP($A17, B$4)</f>
        <v>0.78451070000000001</v>
      </c>
      <c r="C17" s="1" cm="1">
        <f t="array" ref="C17">_xll.BDP($A17, C$4)</f>
        <v>14.80081</v>
      </c>
      <c r="D17" s="1" cm="1">
        <f t="array" ref="D17">_xll.BDP($A17, "BETA_ADJ_OVERRIDABLE", "BETA_OVERRIDE_START_DT", _xll.BADDPERIODS(_xll.BTODAY(),"NUMBEROFPERIODS=-5","PER=Y"), "BETA_OVERRIDE_END_DT", _xll.BTODAY(), D$4, "BETA_OVERRIDE_PERIOD=M")</f>
        <v>0.87533559999999999</v>
      </c>
      <c r="E17" s="1" cm="1">
        <f t="array" ref="E17">_xll.BDP($A17, "BETA_ADJ_OVERRIDABLE", "BETA_OVERRIDE_START_DT", _xll.BADDPERIODS(_xll.BTODAY(),"NUMBEROFPERIODS=-3","PER=Y"), "BETA_OVERRIDE_END_DT", _xll.BTODAY(), E$4, "BETA_OVERRIDE_PERIOD=W")</f>
        <v>0.71410910000000005</v>
      </c>
      <c r="F17" s="1" cm="1">
        <f t="array" ref="F17">_xll.BDP($A17, "BETA_ADJ_OVERRIDABLE", "BETA_OVERRIDE_START_DT", _xll.BADDPERIODS(_xll.BTODAY(),"NUMBEROFPERIODS=-1","PER=Y"), "BETA_OVERRIDE_END_DT", _xll.BTODAY(), F$4, "BETA_OVERRIDE_PERIOD=D")</f>
        <v>0.63364580000000004</v>
      </c>
      <c r="G17" s="1" cm="1">
        <f t="array" ref="G17">_xll.BDP($A17, "BETA_ADJ_OVERRIDABLE", "BETA_OVERRIDE_START_DT", _xll.BADDPERIODS(_xll.BTODAY(),"NUMBEROFPERIODS=-1","PER=Y"), "BETA_OVERRIDE_END_DT", _xll.BTODAY(), G$4, "BETA_OVERRIDE_PERIOD=D")</f>
        <v>0.6009603</v>
      </c>
      <c r="H17" s="1" cm="1">
        <f t="array" ref="H17">_xll.BDP($A17, "BETA_ADJ_OVERRIDABLE", "BETA_OVERRIDE_START_DT", _xll.BADDPERIODS(_xll.BTODAY(),"NUMBEROFPERIODS=-1","PER=Y"), "BETA_OVERRIDE_END_DT", _xll.BTODAY(), H$4, "BETA_OVERRIDE_PERIOD=D")</f>
        <v>0.55388459999999995</v>
      </c>
      <c r="I17" s="1" cm="1">
        <f t="array" ref="I17">_xll.BDP($A17, "BETA_ADJ_OVERRIDABLE", "BETA_OVERRIDE_START_DT", _xll.BADDPERIODS(_xll.BTODAY(),"NUMBEROFPERIODS=-1","PER=Y"), "BETA_OVERRIDE_END_DT", _xll.BTODAY(), I$4, "BETA_OVERRIDE_PERIOD=D")</f>
        <v>0.52167669999999999</v>
      </c>
      <c r="J17" s="1" cm="1">
        <f t="array" ref="J17">_xll.BDP($A17, "BETA_ADJ_OVERRIDABLE", "BETA_OVERRIDE_START_DT", _xll.BADDPERIODS(_xll.BTODAY(),"NUMBEROFPERIODS=-1","PER=Y"), "BETA_OVERRIDE_END_DT", _xll.BTODAY(), J$4, "BETA_OVERRIDE_PERIOD=D")</f>
        <v>0.78017930000000002</v>
      </c>
      <c r="K17" s="1" cm="1">
        <f t="array" ref="K17">_xll.BDP($A17, "BETA_ADJ_OVERRIDABLE", "BETA_OVERRIDE_START_DT", _xll.BADDPERIODS(_xll.BTODAY(),"NUMBEROFPERIODS=-1","PER=Y"), "BETA_OVERRIDE_END_DT", _xll.BTODAY(), K$4, "BETA_OVERRIDE_PERIOD=D")</f>
        <v>0.5152002</v>
      </c>
      <c r="L17" s="1" cm="1">
        <f t="array" ref="L17">_xll.BDP($A17, "BETA_ADJ_OVERRIDABLE", "BETA_OVERRIDE_START_DT", _xll.BADDPERIODS(_xll.BTODAY(),"NUMBEROFPERIODS=-1","PER=Y"), "BETA_OVERRIDE_END_DT", _xll.BTODAY(), L$4, "BETA_OVERRIDE_PERIOD=D")</f>
        <v>0.44607219999999997</v>
      </c>
      <c r="M17" s="1" cm="1">
        <f t="array" ref="M17">_xll.BDP($A17, "BETA_ADJ_OVERRIDABLE", "BETA_OVERRIDE_START_DT", _xll.BADDPERIODS(_xll.BTODAY(),"NUMBEROFPERIODS=-1","PER=Y"), "BETA_OVERRIDE_END_DT", _xll.BTODAY(), M$4, "BETA_OVERRIDE_PERIOD=D")</f>
        <v>0.35926750000000002</v>
      </c>
      <c r="N17" s="1" cm="1">
        <f t="array" ref="N17">_xll.BDP($A17, "BETA_ADJ_OVERRIDABLE", "BETA_OVERRIDE_START_DT", _xll.BADDPERIODS(_xll.BTODAY(),"NUMBEROFPERIODS=-1","PER=Y"), "BETA_OVERRIDE_END_DT", _xll.BTODAY(), N$4, "BETA_OVERRIDE_PERIOD=D")</f>
        <v>0.71965100000000004</v>
      </c>
      <c r="O17" s="1" cm="1">
        <f t="array" ref="O17">_xll.BDP($A17, "BETA_ADJ_OVERRIDABLE", "BETA_OVERRIDE_START_DT", _xll.BADDPERIODS(_xll.BTODAY(),"NUMBEROFPERIODS=-1","PER=Y"), "BETA_OVERRIDE_END_DT", _xll.BTODAY(), O$4, "BETA_OVERRIDE_PERIOD=D")</f>
        <v>0.35330669999999997</v>
      </c>
      <c r="P17" s="1" cm="1">
        <f t="array" ref="P17">_xll.BDP($A17, "BETA_ADJ_OVERRIDABLE", "BETA_OVERRIDE_START_DT", _xll.BADDPERIODS(_xll.BTODAY(),"NUMBEROFPERIODS=-1","PER=Y"), "BETA_OVERRIDE_END_DT", _xll.BTODAY(), P$4, "BETA_OVERRIDE_PERIOD=D")</f>
        <v>0.25248680000000001</v>
      </c>
      <c r="Q17" s="1" cm="1">
        <f t="array" ref="Q17">_xll.BDP($A17, "BETA_ADJ_OVERRIDABLE", "BETA_OVERRIDE_START_DT", _xll.BADDPERIODS(_xll.BTODAY(),"NUMBEROFPERIODS=-1","PER=Y"), "BETA_OVERRIDE_END_DT", _xll.BTODAY(), Q$4, "BETA_OVERRIDE_PERIOD=D")</f>
        <v>0.73937540000000002</v>
      </c>
      <c r="R17" s="1" cm="1">
        <f t="array" ref="R17">_xll.BDP($A17, "BETA_ADJ_OVERRIDABLE", "BETA_OVERRIDE_START_DT", _xll.BADDPERIODS(_xll.BTODAY(),"NUMBEROFPERIODS=-1","PER=Y"), "BETA_OVERRIDE_END_DT", _xll.BTODAY(), R$4, "BETA_OVERRIDE_PERIOD=D")</f>
        <v>0.91440929999999998</v>
      </c>
      <c r="S17" s="1" cm="1">
        <f t="array" ref="S17">_xll.BDP($A17, "BETA_ADJ_OVERRIDABLE", "BETA_OVERRIDE_START_DT", _xll.BADDPERIODS(_xll.BTODAY(),"NUMBEROFPERIODS=-1","PER=Y"), "BETA_OVERRIDE_END_DT", _xll.BTODAY(), S$4, "BETA_OVERRIDE_PERIOD=D")</f>
        <v>1.6384240000000001</v>
      </c>
      <c r="T17" s="1" cm="1">
        <f t="array" ref="T17">_xll.BDP($A17, "BETA_ADJ_OVERRIDABLE", "BETA_OVERRIDE_START_DT", _xll.BADDPERIODS(_xll.BTODAY(),"NUMBEROFPERIODS=-1","PER=Y"), "BETA_OVERRIDE_END_DT", _xll.BTODAY(), T$4, "BETA_OVERRIDE_PERIOD=D")</f>
        <v>0.68805320000000003</v>
      </c>
      <c r="U17" s="1" cm="1">
        <f t="array" ref="U17">_xll.BDP($A17, "BETA_ADJ_OVERRIDABLE", "BETA_OVERRIDE_START_DT", _xll.BADDPERIODS(_xll.BTODAY(),"NUMBEROFPERIODS=-1","PER=Y"), "BETA_OVERRIDE_END_DT", _xll.BTODAY(), U$4, "BETA_OVERRIDE_PERIOD=D")</f>
        <v>0.73746679999999998</v>
      </c>
      <c r="V17" s="1" cm="1">
        <f t="array" ref="V17">_xll.BDP($A17, "BETA_ADJ_OVERRIDABLE", "BETA_OVERRIDE_START_DT", _xll.BADDPERIODS(_xll.BTODAY(),"NUMBEROFPERIODS=-1","PER=Y"), "BETA_OVERRIDE_END_DT", _xll.BTODAY(), V$4, "BETA_OVERRIDE_PERIOD=D")</f>
        <v>0.95981380000000005</v>
      </c>
      <c r="W17" s="1" cm="1">
        <f t="array" ref="W17">_xll.BDP($A17, "BETA_ADJ_OVERRIDABLE", "BETA_OVERRIDE_START_DT", _xll.BADDPERIODS(_xll.BTODAY(),"NUMBEROFPERIODS=-1","PER=Y"), "BETA_OVERRIDE_END_DT", _xll.BTODAY(), W$4, "BETA_OVERRIDE_PERIOD=D")</f>
        <v>0.25248680000000001</v>
      </c>
      <c r="X17" s="1" cm="1">
        <f t="array" ref="X17">_xll.BDP($A17, "BETA_ADJ_OVERRIDABLE", "BETA_OVERRIDE_START_DT", _xll.BADDPERIODS(_xll.BTODAY(),"NUMBEROFPERIODS=-1","PER=Y"), "BETA_OVERRIDE_END_DT", _xll.BTODAY(), X$4, "BETA_OVERRIDE_PERIOD=D")</f>
        <v>0.33586850000000001</v>
      </c>
      <c r="Y17" s="1" cm="1">
        <f t="array" ref="Y17">_xll.BDP($A17, "BETA_ADJ_OVERRIDABLE", "BETA_OVERRIDE_START_DT", _xll.BADDPERIODS(_xll.BTODAY(),"NUMBEROFPERIODS=-1","PER=Y"), "BETA_OVERRIDE_END_DT", _xll.BTODAY(), Y$4, "BETA_OVERRIDE_PERIOD=D")</f>
        <v>0.33661600000000003</v>
      </c>
      <c r="Z17" s="1" cm="1">
        <f t="array" ref="Z17">_xll.BDP($A17, "BETA_ADJ_OVERRIDABLE", "BETA_OVERRIDE_START_DT", _xll.BADDPERIODS(_xll.BTODAY(),"NUMBEROFPERIODS=-1","PER=Y"), "BETA_OVERRIDE_END_DT", _xll.BTODAY(), Z$4, "BETA_OVERRIDE_PERIOD=D")</f>
        <v>0.39954780000000001</v>
      </c>
      <c r="AA17" s="1" cm="1">
        <f t="array" ref="AA17">_xll.BDP($A17, "BETA_ADJ_OVERRIDABLE", "BETA_OVERRIDE_START_DT", _xll.BADDPERIODS(_xll.BTODAY(),"NUMBEROFPERIODS=-1","PER=Y"), "BETA_OVERRIDE_END_DT", _xll.BTODAY(), AA$4, "BETA_OVERRIDE_PERIOD=D")</f>
        <v>0.37606139999999999</v>
      </c>
      <c r="AB17" s="1" cm="1">
        <f t="array" ref="AB17">_xll.BDP($A17, "BETA_ADJ_OVERRIDABLE", "BETA_OVERRIDE_START_DT", _xll.BADDPERIODS(_xll.BTODAY(),"NUMBEROFPERIODS=-1","PER=Y"), "BETA_OVERRIDE_END_DT", _xll.BTODAY(), AB$4, "BETA_OVERRIDE_PERIOD=D")</f>
        <v>0.45968019999999998</v>
      </c>
      <c r="AC17" s="1" cm="1">
        <f t="array" ref="AC17">_xll.BDP($A17, "BETA_ADJ_OVERRIDABLE", "BETA_OVERRIDE_START_DT", _xll.BADDPERIODS(_xll.BTODAY(),"NUMBEROFPERIODS=-1","PER=Y"), "BETA_OVERRIDE_END_DT", _xll.BTODAY(), AC$4, "BETA_OVERRIDE_PERIOD=D")</f>
        <v>0.40035470000000001</v>
      </c>
      <c r="AD17" s="1" cm="1">
        <f t="array" ref="AD17">_xll.BDP($A17, "BETA_ADJ_OVERRIDABLE", "BETA_OVERRIDE_START_DT", _xll.BADDPERIODS(_xll.BTODAY(),"NUMBEROFPERIODS=-1","PER=Y"), "BETA_OVERRIDE_END_DT", _xll.BTODAY(), AD$4, "BETA_OVERRIDE_PERIOD=D")</f>
        <v>0.19548860000000001</v>
      </c>
      <c r="AE17" s="1" cm="1">
        <f t="array" ref="AE17">_xll.BDP($A17, "BETA_ADJ_OVERRIDABLE", "BETA_OVERRIDE_START_DT", _xll.BADDPERIODS(_xll.BTODAY(),"NUMBEROFPERIODS=-1","PER=Y"), "BETA_OVERRIDE_END_DT", _xll.BTODAY(), AE$4, "BETA_OVERRIDE_PERIOD=D")</f>
        <v>0.4202342</v>
      </c>
      <c r="AF17" s="1" cm="1">
        <f t="array" ref="AF17">_xll.BDP($A17, "BETA_ADJ_OVERRIDABLE", "BETA_OVERRIDE_START_DT", _xll.BADDPERIODS(_xll.BTODAY(),"NUMBEROFPERIODS=-1","PER=Y"), "BETA_OVERRIDE_END_DT", _xll.BTODAY(), AF$4, "BETA_OVERRIDE_PERIOD=D")</f>
        <v>0.27036280000000001</v>
      </c>
      <c r="AG17" s="1" cm="1">
        <f t="array" ref="AG17">_xll.BDP($A17, "BETA_ADJ_OVERRIDABLE", "BETA_OVERRIDE_START_DT", _xll.BADDPERIODS(_xll.BTODAY(),"NUMBEROFPERIODS=-1","PER=Y"), "BETA_OVERRIDE_END_DT", _xll.BTODAY(), AG$4, "BETA_OVERRIDE_PERIOD=D")</f>
        <v>0.5835785</v>
      </c>
      <c r="AH17" s="1" cm="1">
        <f t="array" ref="AH17">_xll.BDP($A17, "BETA_ADJ_OVERRIDABLE", "BETA_OVERRIDE_START_DT", _xll.BADDPERIODS(_xll.BTODAY(),"NUMBEROFPERIODS=-1","PER=Y"), "BETA_OVERRIDE_END_DT", _xll.BTODAY(), AH$4, "BETA_OVERRIDE_PERIOD=D")</f>
        <v>0.2164471</v>
      </c>
      <c r="AI17" s="1" cm="1">
        <f t="array" ref="AI17">_xll.BDP($A17, "BETA_ADJ_OVERRIDABLE", "BETA_OVERRIDE_START_DT", _xll.BADDPERIODS(_xll.BTODAY(),"NUMBEROFPERIODS=-1","PER=Y"), "BETA_OVERRIDE_END_DT", _xll.BTODAY(), AI$4, "BETA_OVERRIDE_PERIOD=D")</f>
        <v>0.30751699999999998</v>
      </c>
      <c r="AJ17" s="1" cm="1">
        <f t="array" ref="AJ17">_xll.BDP($A17, "BETA_ADJ_OVERRIDABLE", "BETA_OVERRIDE_START_DT", _xll.BADDPERIODS(_xll.BTODAY(),"NUMBEROFPERIODS=-1","PER=Y"), "BETA_OVERRIDE_END_DT", _xll.BTODAY(), AJ$4, "BETA_OVERRIDE_PERIOD=D")</f>
        <v>0.37216399999999999</v>
      </c>
      <c r="AK17" s="1" cm="1">
        <f t="array" ref="AK17">_xll.BDP($A17, "BETA_ADJ_OVERRIDABLE", "BETA_OVERRIDE_START_DT", _xll.BADDPERIODS(_xll.BTODAY(),"NUMBEROFPERIODS=-1","PER=Y"), "BETA_OVERRIDE_END_DT", _xll.BTODAY(), AK$4, "BETA_OVERRIDE_PERIOD=D")</f>
        <v>0.35579630000000001</v>
      </c>
      <c r="AL17" s="1" cm="1">
        <f t="array" ref="AL17">_xll.BDP($A17, "BETA_ADJ_OVERRIDABLE", "BETA_OVERRIDE_START_DT", _xll.BADDPERIODS(_xll.BTODAY(),"NUMBEROFPERIODS=-1","PER=Y"), "BETA_OVERRIDE_END_DT", _xll.BTODAY(), AL$4, "BETA_OVERRIDE_PERIOD=D")</f>
        <v>0.35868470000000002</v>
      </c>
      <c r="AM17" s="1" cm="1">
        <f t="array" ref="AM17">_xll.BDP($A17, "BETA_ADJ_OVERRIDABLE", "BETA_OVERRIDE_START_DT", _xll.BADDPERIODS(_xll.BTODAY(),"NUMBEROFPERIODS=-1","PER=Y"), "BETA_OVERRIDE_END_DT", _xll.BTODAY(), AM$4, "BETA_OVERRIDE_PERIOD=D")</f>
        <v>0.71647660000000002</v>
      </c>
      <c r="AN17" s="1" cm="1">
        <f t="array" ref="AN17">_xll.BDP($A17, "BETA_ADJ_OVERRIDABLE", "BETA_OVERRIDE_START_DT", _xll.BADDPERIODS(_xll.BTODAY(),"NUMBEROFPERIODS=-1","PER=Y"), "BETA_OVERRIDE_END_DT", _xll.BTODAY(), AN$4, "BETA_OVERRIDE_PERIOD=D")</f>
        <v>0.82523029999999997</v>
      </c>
      <c r="AO17" s="1" cm="1">
        <f t="array" ref="AO17">_xll.BDP($A17, "BETA_ADJ_OVERRIDABLE", "BETA_OVERRIDE_START_DT", _xll.BADDPERIODS(_xll.BTODAY(),"NUMBEROFPERIODS=-1","PER=Y"), "BETA_OVERRIDE_END_DT", _xll.BTODAY(), AO$4, "BETA_OVERRIDE_PERIOD=D")</f>
        <v>0.67349000000000003</v>
      </c>
    </row>
    <row r="18" spans="1:41" x14ac:dyDescent="0.25">
      <c r="A18" t="s">
        <v>54</v>
      </c>
      <c r="B18" s="1" cm="1">
        <f t="array" ref="B18">_xll.BDP($A18, B$4)</f>
        <v>-0.12691250000000001</v>
      </c>
      <c r="C18" s="1" cm="1">
        <f t="array" ref="C18">_xll.BDP($A18, C$4)</f>
        <v>8.3816790000000001</v>
      </c>
      <c r="D18" s="1" cm="1">
        <f t="array" ref="D18">_xll.BDP($A18, "BETA_ADJ_OVERRIDABLE", "BETA_OVERRIDE_START_DT", _xll.BADDPERIODS(_xll.BTODAY(),"NUMBEROFPERIODS=-5","PER=Y"), "BETA_OVERRIDE_END_DT", _xll.BTODAY(), D$4, "BETA_OVERRIDE_PERIOD=M")</f>
        <v>0.30856050000000002</v>
      </c>
      <c r="E18" s="1" cm="1">
        <f t="array" ref="E18">_xll.BDP($A18, "BETA_ADJ_OVERRIDABLE", "BETA_OVERRIDE_START_DT", _xll.BADDPERIODS(_xll.BTODAY(),"NUMBEROFPERIODS=-3","PER=Y"), "BETA_OVERRIDE_END_DT", _xll.BTODAY(), E$4, "BETA_OVERRIDE_PERIOD=W")</f>
        <v>0.24252090000000001</v>
      </c>
      <c r="F18" s="1" cm="1">
        <f t="array" ref="F18">_xll.BDP($A18, "BETA_ADJ_OVERRIDABLE", "BETA_OVERRIDE_START_DT", _xll.BADDPERIODS(_xll.BTODAY(),"NUMBEROFPERIODS=-1","PER=Y"), "BETA_OVERRIDE_END_DT", _xll.BTODAY(), F$4, "BETA_OVERRIDE_PERIOD=D")</f>
        <v>0.33985029999999999</v>
      </c>
      <c r="G18" s="1" cm="1">
        <f t="array" ref="G18">_xll.BDP($A18, "BETA_ADJ_OVERRIDABLE", "BETA_OVERRIDE_START_DT", _xll.BADDPERIODS(_xll.BTODAY(),"NUMBEROFPERIODS=-1","PER=Y"), "BETA_OVERRIDE_END_DT", _xll.BTODAY(), G$4, "BETA_OVERRIDE_PERIOD=D")</f>
        <v>0.35541529999999999</v>
      </c>
      <c r="H18" s="1" cm="1">
        <f t="array" ref="H18">_xll.BDP($A18, "BETA_ADJ_OVERRIDABLE", "BETA_OVERRIDE_START_DT", _xll.BADDPERIODS(_xll.BTODAY(),"NUMBEROFPERIODS=-1","PER=Y"), "BETA_OVERRIDE_END_DT", _xll.BTODAY(), H$4, "BETA_OVERRIDE_PERIOD=D")</f>
        <v>0.34465950000000001</v>
      </c>
      <c r="I18" s="1" cm="1">
        <f t="array" ref="I18">_xll.BDP($A18, "BETA_ADJ_OVERRIDABLE", "BETA_OVERRIDE_START_DT", _xll.BADDPERIODS(_xll.BTODAY(),"NUMBEROFPERIODS=-1","PER=Y"), "BETA_OVERRIDE_END_DT", _xll.BTODAY(), I$4, "BETA_OVERRIDE_PERIOD=D")</f>
        <v>0.33090449999999999</v>
      </c>
      <c r="J18" s="1" cm="1">
        <f t="array" ref="J18">_xll.BDP($A18, "BETA_ADJ_OVERRIDABLE", "BETA_OVERRIDE_START_DT", _xll.BADDPERIODS(_xll.BTODAY(),"NUMBEROFPERIODS=-1","PER=Y"), "BETA_OVERRIDE_END_DT", _xll.BTODAY(), J$4, "BETA_OVERRIDE_PERIOD=D")</f>
        <v>0.35994330000000002</v>
      </c>
      <c r="K18" s="1" cm="1">
        <f t="array" ref="K18">_xll.BDP($A18, "BETA_ADJ_OVERRIDABLE", "BETA_OVERRIDE_START_DT", _xll.BADDPERIODS(_xll.BTODAY(),"NUMBEROFPERIODS=-1","PER=Y"), "BETA_OVERRIDE_END_DT", _xll.BTODAY(), K$4, "BETA_OVERRIDE_PERIOD=D")</f>
        <v>0.32969599999999999</v>
      </c>
      <c r="L18" s="1" cm="1">
        <f t="array" ref="L18">_xll.BDP($A18, "BETA_ADJ_OVERRIDABLE", "BETA_OVERRIDE_START_DT", _xll.BADDPERIODS(_xll.BTODAY(),"NUMBEROFPERIODS=-1","PER=Y"), "BETA_OVERRIDE_END_DT", _xll.BTODAY(), L$4, "BETA_OVERRIDE_PERIOD=D")</f>
        <v>0.30246479999999998</v>
      </c>
      <c r="M18" s="1" cm="1">
        <f t="array" ref="M18">_xll.BDP($A18, "BETA_ADJ_OVERRIDABLE", "BETA_OVERRIDE_START_DT", _xll.BADDPERIODS(_xll.BTODAY(),"NUMBEROFPERIODS=-1","PER=Y"), "BETA_OVERRIDE_END_DT", _xll.BTODAY(), M$4, "BETA_OVERRIDE_PERIOD=D")</f>
        <v>0.31190899999999999</v>
      </c>
      <c r="N18" s="1" cm="1">
        <f t="array" ref="N18">_xll.BDP($A18, "BETA_ADJ_OVERRIDABLE", "BETA_OVERRIDE_START_DT", _xll.BADDPERIODS(_xll.BTODAY(),"NUMBEROFPERIODS=-1","PER=Y"), "BETA_OVERRIDE_END_DT", _xll.BTODAY(), N$4, "BETA_OVERRIDE_PERIOD=D")</f>
        <v>0.32852229999999999</v>
      </c>
      <c r="O18" s="1" cm="1">
        <f t="array" ref="O18">_xll.BDP($A18, "BETA_ADJ_OVERRIDABLE", "BETA_OVERRIDE_START_DT", _xll.BADDPERIODS(_xll.BTODAY(),"NUMBEROFPERIODS=-1","PER=Y"), "BETA_OVERRIDE_END_DT", _xll.BTODAY(), O$4, "BETA_OVERRIDE_PERIOD=D")</f>
        <v>0.38185530000000001</v>
      </c>
      <c r="P18" s="1" cm="1">
        <f t="array" ref="P18">_xll.BDP($A18, "BETA_ADJ_OVERRIDABLE", "BETA_OVERRIDE_START_DT", _xll.BADDPERIODS(_xll.BTODAY(),"NUMBEROFPERIODS=-1","PER=Y"), "BETA_OVERRIDE_END_DT", _xll.BTODAY(), P$4, "BETA_OVERRIDE_PERIOD=D")</f>
        <v>0.37238369999999998</v>
      </c>
      <c r="Q18" s="1" cm="1">
        <f t="array" ref="Q18">_xll.BDP($A18, "BETA_ADJ_OVERRIDABLE", "BETA_OVERRIDE_START_DT", _xll.BADDPERIODS(_xll.BTODAY(),"NUMBEROFPERIODS=-1","PER=Y"), "BETA_OVERRIDE_END_DT", _xll.BTODAY(), Q$4, "BETA_OVERRIDE_PERIOD=D")</f>
        <v>0.1531479</v>
      </c>
      <c r="R18" s="1" cm="1">
        <f t="array" ref="R18">_xll.BDP($A18, "BETA_ADJ_OVERRIDABLE", "BETA_OVERRIDE_START_DT", _xll.BADDPERIODS(_xll.BTODAY(),"NUMBEROFPERIODS=-1","PER=Y"), "BETA_OVERRIDE_END_DT", _xll.BTODAY(), R$4, "BETA_OVERRIDE_PERIOD=D")</f>
        <v>0.2254121</v>
      </c>
      <c r="S18" s="1" cm="1">
        <f t="array" ref="S18">_xll.BDP($A18, "BETA_ADJ_OVERRIDABLE", "BETA_OVERRIDE_START_DT", _xll.BADDPERIODS(_xll.BTODAY(),"NUMBEROFPERIODS=-1","PER=Y"), "BETA_OVERRIDE_END_DT", _xll.BTODAY(), S$4, "BETA_OVERRIDE_PERIOD=D")</f>
        <v>0.32872459999999998</v>
      </c>
      <c r="T18" s="1" cm="1">
        <f t="array" ref="T18">_xll.BDP($A18, "BETA_ADJ_OVERRIDABLE", "BETA_OVERRIDE_START_DT", _xll.BADDPERIODS(_xll.BTODAY(),"NUMBEROFPERIODS=-1","PER=Y"), "BETA_OVERRIDE_END_DT", _xll.BTODAY(), T$4, "BETA_OVERRIDE_PERIOD=D")</f>
        <v>0.15304129999999999</v>
      </c>
      <c r="U18" s="1" cm="1">
        <f t="array" ref="U18">_xll.BDP($A18, "BETA_ADJ_OVERRIDABLE", "BETA_OVERRIDE_START_DT", _xll.BADDPERIODS(_xll.BTODAY(),"NUMBEROFPERIODS=-1","PER=Y"), "BETA_OVERRIDE_END_DT", _xll.BTODAY(), U$4, "BETA_OVERRIDE_PERIOD=D")</f>
        <v>0.17163220000000001</v>
      </c>
      <c r="V18" s="1" cm="1">
        <f t="array" ref="V18">_xll.BDP($A18, "BETA_ADJ_OVERRIDABLE", "BETA_OVERRIDE_START_DT", _xll.BADDPERIODS(_xll.BTODAY(),"NUMBEROFPERIODS=-1","PER=Y"), "BETA_OVERRIDE_END_DT", _xll.BTODAY(), V$4, "BETA_OVERRIDE_PERIOD=D")</f>
        <v>0.2604477</v>
      </c>
      <c r="W18" s="1" cm="1">
        <f t="array" ref="W18">_xll.BDP($A18, "BETA_ADJ_OVERRIDABLE", "BETA_OVERRIDE_START_DT", _xll.BADDPERIODS(_xll.BTODAY(),"NUMBEROFPERIODS=-1","PER=Y"), "BETA_OVERRIDE_END_DT", _xll.BTODAY(), W$4, "BETA_OVERRIDE_PERIOD=D")</f>
        <v>0.37238369999999998</v>
      </c>
      <c r="X18" s="1" cm="1">
        <f t="array" ref="X18">_xll.BDP($A18, "BETA_ADJ_OVERRIDABLE", "BETA_OVERRIDE_START_DT", _xll.BADDPERIODS(_xll.BTODAY(),"NUMBEROFPERIODS=-1","PER=Y"), "BETA_OVERRIDE_END_DT", _xll.BTODAY(), X$4, "BETA_OVERRIDE_PERIOD=D")</f>
        <v>0.34594639999999999</v>
      </c>
      <c r="Y18" s="1" cm="1">
        <f t="array" ref="Y18">_xll.BDP($A18, "BETA_ADJ_OVERRIDABLE", "BETA_OVERRIDE_START_DT", _xll.BADDPERIODS(_xll.BTODAY(),"NUMBEROFPERIODS=-1","PER=Y"), "BETA_OVERRIDE_END_DT", _xll.BTODAY(), Y$4, "BETA_OVERRIDE_PERIOD=D")</f>
        <v>0.3401303</v>
      </c>
      <c r="Z18" s="1" cm="1">
        <f t="array" ref="Z18">_xll.BDP($A18, "BETA_ADJ_OVERRIDABLE", "BETA_OVERRIDE_START_DT", _xll.BADDPERIODS(_xll.BTODAY(),"NUMBEROFPERIODS=-1","PER=Y"), "BETA_OVERRIDE_END_DT", _xll.BTODAY(), Z$4, "BETA_OVERRIDE_PERIOD=D")</f>
        <v>0.32135180000000002</v>
      </c>
      <c r="AA18" s="1" cm="1">
        <f t="array" ref="AA18">_xll.BDP($A18, "BETA_ADJ_OVERRIDABLE", "BETA_OVERRIDE_START_DT", _xll.BADDPERIODS(_xll.BTODAY(),"NUMBEROFPERIODS=-1","PER=Y"), "BETA_OVERRIDE_END_DT", _xll.BTODAY(), AA$4, "BETA_OVERRIDE_PERIOD=D")</f>
        <v>0.31604369999999998</v>
      </c>
      <c r="AB18" s="1" cm="1">
        <f t="array" ref="AB18">_xll.BDP($A18, "BETA_ADJ_OVERRIDABLE", "BETA_OVERRIDE_START_DT", _xll.BADDPERIODS(_xll.BTODAY(),"NUMBEROFPERIODS=-1","PER=Y"), "BETA_OVERRIDE_END_DT", _xll.BTODAY(), AB$4, "BETA_OVERRIDE_PERIOD=D")</f>
        <v>0.34515499999999999</v>
      </c>
      <c r="AC18" s="1" cm="1">
        <f t="array" ref="AC18">_xll.BDP($A18, "BETA_ADJ_OVERRIDABLE", "BETA_OVERRIDE_START_DT", _xll.BADDPERIODS(_xll.BTODAY(),"NUMBEROFPERIODS=-1","PER=Y"), "BETA_OVERRIDE_END_DT", _xll.BTODAY(), AC$4, "BETA_OVERRIDE_PERIOD=D")</f>
        <v>0.35500789999999999</v>
      </c>
      <c r="AD18" s="1" cm="1">
        <f t="array" ref="AD18">_xll.BDP($A18, "BETA_ADJ_OVERRIDABLE", "BETA_OVERRIDE_START_DT", _xll.BADDPERIODS(_xll.BTODAY(),"NUMBEROFPERIODS=-1","PER=Y"), "BETA_OVERRIDE_END_DT", _xll.BTODAY(), AD$4, "BETA_OVERRIDE_PERIOD=D")</f>
        <v>0.444606</v>
      </c>
      <c r="AE18" s="1" cm="1">
        <f t="array" ref="AE18">_xll.BDP($A18, "BETA_ADJ_OVERRIDABLE", "BETA_OVERRIDE_START_DT", _xll.BADDPERIODS(_xll.BTODAY(),"NUMBEROFPERIODS=-1","PER=Y"), "BETA_OVERRIDE_END_DT", _xll.BTODAY(), AE$4, "BETA_OVERRIDE_PERIOD=D")</f>
        <v>0.240061</v>
      </c>
      <c r="AF18" s="1" cm="1">
        <f t="array" ref="AF18">_xll.BDP($A18, "BETA_ADJ_OVERRIDABLE", "BETA_OVERRIDE_START_DT", _xll.BADDPERIODS(_xll.BTODAY(),"NUMBEROFPERIODS=-1","PER=Y"), "BETA_OVERRIDE_END_DT", _xll.BTODAY(), AF$4, "BETA_OVERRIDE_PERIOD=D")</f>
        <v>0.38808160000000003</v>
      </c>
      <c r="AG18" s="1" cm="1">
        <f t="array" ref="AG18">_xll.BDP($A18, "BETA_ADJ_OVERRIDABLE", "BETA_OVERRIDE_START_DT", _xll.BADDPERIODS(_xll.BTODAY(),"NUMBEROFPERIODS=-1","PER=Y"), "BETA_OVERRIDE_END_DT", _xll.BTODAY(), AG$4, "BETA_OVERRIDE_PERIOD=D")</f>
        <v>0.2458535</v>
      </c>
      <c r="AH18" s="1" cm="1">
        <f t="array" ref="AH18">_xll.BDP($A18, "BETA_ADJ_OVERRIDABLE", "BETA_OVERRIDE_START_DT", _xll.BADDPERIODS(_xll.BTODAY(),"NUMBEROFPERIODS=-1","PER=Y"), "BETA_OVERRIDE_END_DT", _xll.BTODAY(), AH$4, "BETA_OVERRIDE_PERIOD=D")</f>
        <v>0.5102061</v>
      </c>
      <c r="AI18" s="1" cm="1">
        <f t="array" ref="AI18">_xll.BDP($A18, "BETA_ADJ_OVERRIDABLE", "BETA_OVERRIDE_START_DT", _xll.BADDPERIODS(_xll.BTODAY(),"NUMBEROFPERIODS=-1","PER=Y"), "BETA_OVERRIDE_END_DT", _xll.BTODAY(), AI$4, "BETA_OVERRIDE_PERIOD=D")</f>
        <v>0.2476508</v>
      </c>
      <c r="AJ18" s="1" cm="1">
        <f t="array" ref="AJ18">_xll.BDP($A18, "BETA_ADJ_OVERRIDABLE", "BETA_OVERRIDE_START_DT", _xll.BADDPERIODS(_xll.BTODAY(),"NUMBEROFPERIODS=-1","PER=Y"), "BETA_OVERRIDE_END_DT", _xll.BTODAY(), AJ$4, "BETA_OVERRIDE_PERIOD=D")</f>
        <v>0.35014210000000001</v>
      </c>
      <c r="AK18" s="1" cm="1">
        <f t="array" ref="AK18">_xll.BDP($A18, "BETA_ADJ_OVERRIDABLE", "BETA_OVERRIDE_START_DT", _xll.BADDPERIODS(_xll.BTODAY(),"NUMBEROFPERIODS=-1","PER=Y"), "BETA_OVERRIDE_END_DT", _xll.BTODAY(), AK$4, "BETA_OVERRIDE_PERIOD=D")</f>
        <v>0.3404896</v>
      </c>
      <c r="AL18" s="1" cm="1">
        <f t="array" ref="AL18">_xll.BDP($A18, "BETA_ADJ_OVERRIDABLE", "BETA_OVERRIDE_START_DT", _xll.BADDPERIODS(_xll.BTODAY(),"NUMBEROFPERIODS=-1","PER=Y"), "BETA_OVERRIDE_END_DT", _xll.BTODAY(), AL$4, "BETA_OVERRIDE_PERIOD=D")</f>
        <v>0.34986620000000002</v>
      </c>
      <c r="AM18" s="1" cm="1">
        <f t="array" ref="AM18">_xll.BDP($A18, "BETA_ADJ_OVERRIDABLE", "BETA_OVERRIDE_START_DT", _xll.BADDPERIODS(_xll.BTODAY(),"NUMBEROFPERIODS=-1","PER=Y"), "BETA_OVERRIDE_END_DT", _xll.BTODAY(), AM$4, "BETA_OVERRIDE_PERIOD=D")</f>
        <v>0.32177339999999999</v>
      </c>
      <c r="AN18" s="1" cm="1">
        <f t="array" ref="AN18">_xll.BDP($A18, "BETA_ADJ_OVERRIDABLE", "BETA_OVERRIDE_START_DT", _xll.BADDPERIODS(_xll.BTODAY(),"NUMBEROFPERIODS=-1","PER=Y"), "BETA_OVERRIDE_END_DT", _xll.BTODAY(), AN$4, "BETA_OVERRIDE_PERIOD=D")</f>
        <v>0.29881229999999998</v>
      </c>
      <c r="AO18" s="1" cm="1">
        <f t="array" ref="AO18">_xll.BDP($A18, "BETA_ADJ_OVERRIDABLE", "BETA_OVERRIDE_START_DT", _xll.BADDPERIODS(_xll.BTODAY(),"NUMBEROFPERIODS=-1","PER=Y"), "BETA_OVERRIDE_END_DT", _xll.BTODAY(), AO$4, "BETA_OVERRIDE_PERIOD=D")</f>
        <v>0.38183030000000001</v>
      </c>
    </row>
    <row r="19" spans="1:41" x14ac:dyDescent="0.25">
      <c r="A19" t="s">
        <v>55</v>
      </c>
      <c r="B19" s="1" cm="1">
        <f t="array" ref="B19">_xll.BDP($A19, B$4)</f>
        <v>0.19233810000000001</v>
      </c>
      <c r="C19" s="1" cm="1">
        <f t="array" ref="C19">_xll.BDP($A19, C$4)</f>
        <v>38.394939999999998</v>
      </c>
      <c r="D19" s="1" cm="1">
        <f t="array" ref="D19">_xll.BDP($A19, "BETA_ADJ_OVERRIDABLE", "BETA_OVERRIDE_START_DT", _xll.BADDPERIODS(_xll.BTODAY(),"NUMBEROFPERIODS=-5","PER=Y"), "BETA_OVERRIDE_END_DT", _xll.BTODAY(), D$4, "BETA_OVERRIDE_PERIOD=M")</f>
        <v>0.63137030000000005</v>
      </c>
      <c r="E19" s="1" cm="1">
        <f t="array" ref="E19">_xll.BDP($A19, "BETA_ADJ_OVERRIDABLE", "BETA_OVERRIDE_START_DT", _xll.BADDPERIODS(_xll.BTODAY(),"NUMBEROFPERIODS=-3","PER=Y"), "BETA_OVERRIDE_END_DT", _xll.BTODAY(), E$4, "BETA_OVERRIDE_PERIOD=W")</f>
        <v>0.72367289999999995</v>
      </c>
      <c r="F19" s="1" cm="1">
        <f t="array" ref="F19">_xll.BDP($A19, "BETA_ADJ_OVERRIDABLE", "BETA_OVERRIDE_START_DT", _xll.BADDPERIODS(_xll.BTODAY(),"NUMBEROFPERIODS=-1","PER=Y"), "BETA_OVERRIDE_END_DT", _xll.BTODAY(), F$4, "BETA_OVERRIDE_PERIOD=D")</f>
        <v>0.4353998</v>
      </c>
      <c r="G19" s="1" cm="1">
        <f t="array" ref="G19">_xll.BDP($A19, "BETA_ADJ_OVERRIDABLE", "BETA_OVERRIDE_START_DT", _xll.BADDPERIODS(_xll.BTODAY(),"NUMBEROFPERIODS=-1","PER=Y"), "BETA_OVERRIDE_END_DT", _xll.BTODAY(), G$4, "BETA_OVERRIDE_PERIOD=D")</f>
        <v>0.4327337</v>
      </c>
      <c r="H19" s="1" cm="1">
        <f t="array" ref="H19">_xll.BDP($A19, "BETA_ADJ_OVERRIDABLE", "BETA_OVERRIDE_START_DT", _xll.BADDPERIODS(_xll.BTODAY(),"NUMBEROFPERIODS=-1","PER=Y"), "BETA_OVERRIDE_END_DT", _xll.BTODAY(), H$4, "BETA_OVERRIDE_PERIOD=D")</f>
        <v>0.41876170000000001</v>
      </c>
      <c r="I19" s="1" cm="1">
        <f t="array" ref="I19">_xll.BDP($A19, "BETA_ADJ_OVERRIDABLE", "BETA_OVERRIDE_START_DT", _xll.BADDPERIODS(_xll.BTODAY(),"NUMBEROFPERIODS=-1","PER=Y"), "BETA_OVERRIDE_END_DT", _xll.BTODAY(), I$4, "BETA_OVERRIDE_PERIOD=D")</f>
        <v>0.41259210000000002</v>
      </c>
      <c r="J19" s="1" cm="1">
        <f t="array" ref="J19">_xll.BDP($A19, "BETA_ADJ_OVERRIDABLE", "BETA_OVERRIDE_START_DT", _xll.BADDPERIODS(_xll.BTODAY(),"NUMBEROFPERIODS=-1","PER=Y"), "BETA_OVERRIDE_END_DT", _xll.BTODAY(), J$4, "BETA_OVERRIDE_PERIOD=D")</f>
        <v>0.44011230000000001</v>
      </c>
      <c r="K19" s="1" cm="1">
        <f t="array" ref="K19">_xll.BDP($A19, "BETA_ADJ_OVERRIDABLE", "BETA_OVERRIDE_START_DT", _xll.BADDPERIODS(_xll.BTODAY(),"NUMBEROFPERIODS=-1","PER=Y"), "BETA_OVERRIDE_END_DT", _xll.BTODAY(), K$4, "BETA_OVERRIDE_PERIOD=D")</f>
        <v>0.41149619999999998</v>
      </c>
      <c r="L19" s="1" cm="1">
        <f t="array" ref="L19">_xll.BDP($A19, "BETA_ADJ_OVERRIDABLE", "BETA_OVERRIDE_START_DT", _xll.BADDPERIODS(_xll.BTODAY(),"NUMBEROFPERIODS=-1","PER=Y"), "BETA_OVERRIDE_END_DT", _xll.BTODAY(), L$4, "BETA_OVERRIDE_PERIOD=D")</f>
        <v>0.96152320000000002</v>
      </c>
      <c r="M19" s="1" cm="1">
        <f t="array" ref="M19">_xll.BDP($A19, "BETA_ADJ_OVERRIDABLE", "BETA_OVERRIDE_START_DT", _xll.BADDPERIODS(_xll.BTODAY(),"NUMBEROFPERIODS=-1","PER=Y"), "BETA_OVERRIDE_END_DT", _xll.BTODAY(), M$4, "BETA_OVERRIDE_PERIOD=D")</f>
        <v>1.5386010000000001</v>
      </c>
      <c r="N19" s="1" cm="1">
        <f t="array" ref="N19">_xll.BDP($A19, "BETA_ADJ_OVERRIDABLE", "BETA_OVERRIDE_START_DT", _xll.BADDPERIODS(_xll.BTODAY(),"NUMBEROFPERIODS=-1","PER=Y"), "BETA_OVERRIDE_END_DT", _xll.BTODAY(), N$4, "BETA_OVERRIDE_PERIOD=D")</f>
        <v>0.63180040000000004</v>
      </c>
      <c r="O19" s="1" cm="1">
        <f t="array" ref="O19">_xll.BDP($A19, "BETA_ADJ_OVERRIDABLE", "BETA_OVERRIDE_START_DT", _xll.BADDPERIODS(_xll.BTODAY(),"NUMBEROFPERIODS=-1","PER=Y"), "BETA_OVERRIDE_END_DT", _xll.BTODAY(), O$4, "BETA_OVERRIDE_PERIOD=D")</f>
        <v>0.34659230000000002</v>
      </c>
      <c r="P19" s="1" cm="1">
        <f t="array" ref="P19">_xll.BDP($A19, "BETA_ADJ_OVERRIDABLE", "BETA_OVERRIDE_START_DT", _xll.BADDPERIODS(_xll.BTODAY(),"NUMBEROFPERIODS=-1","PER=Y"), "BETA_OVERRIDE_END_DT", _xll.BTODAY(), P$4, "BETA_OVERRIDE_PERIOD=D")</f>
        <v>0.29038920000000001</v>
      </c>
      <c r="Q19" s="1" cm="1">
        <f t="array" ref="Q19">_xll.BDP($A19, "BETA_ADJ_OVERRIDABLE", "BETA_OVERRIDE_START_DT", _xll.BADDPERIODS(_xll.BTODAY(),"NUMBEROFPERIODS=-1","PER=Y"), "BETA_OVERRIDE_END_DT", _xll.BTODAY(), Q$4, "BETA_OVERRIDE_PERIOD=D")</f>
        <v>0.47948960000000002</v>
      </c>
      <c r="R19" s="1" cm="1">
        <f t="array" ref="R19">_xll.BDP($A19, "BETA_ADJ_OVERRIDABLE", "BETA_OVERRIDE_START_DT", _xll.BADDPERIODS(_xll.BTODAY(),"NUMBEROFPERIODS=-1","PER=Y"), "BETA_OVERRIDE_END_DT", _xll.BTODAY(), R$4, "BETA_OVERRIDE_PERIOD=D")</f>
        <v>0.8307369</v>
      </c>
      <c r="S19" s="1" cm="1">
        <f t="array" ref="S19">_xll.BDP($A19, "BETA_ADJ_OVERRIDABLE", "BETA_OVERRIDE_START_DT", _xll.BADDPERIODS(_xll.BTODAY(),"NUMBEROFPERIODS=-1","PER=Y"), "BETA_OVERRIDE_END_DT", _xll.BTODAY(), S$4, "BETA_OVERRIDE_PERIOD=D")</f>
        <v>2.5535700000000001</v>
      </c>
      <c r="T19" s="1" cm="1">
        <f t="array" ref="T19">_xll.BDP($A19, "BETA_ADJ_OVERRIDABLE", "BETA_OVERRIDE_START_DT", _xll.BADDPERIODS(_xll.BTODAY(),"NUMBEROFPERIODS=-1","PER=Y"), "BETA_OVERRIDE_END_DT", _xll.BTODAY(), T$4, "BETA_OVERRIDE_PERIOD=D")</f>
        <v>0.8421999</v>
      </c>
      <c r="U19" s="1" cm="1">
        <f t="array" ref="U19">_xll.BDP($A19, "BETA_ADJ_OVERRIDABLE", "BETA_OVERRIDE_START_DT", _xll.BADDPERIODS(_xll.BTODAY(),"NUMBEROFPERIODS=-1","PER=Y"), "BETA_OVERRIDE_END_DT", _xll.BTODAY(), U$4, "BETA_OVERRIDE_PERIOD=D")</f>
        <v>1.7408239999999999</v>
      </c>
      <c r="V19" s="1" cm="1">
        <f t="array" ref="V19">_xll.BDP($A19, "BETA_ADJ_OVERRIDABLE", "BETA_OVERRIDE_START_DT", _xll.BADDPERIODS(_xll.BTODAY(),"NUMBEROFPERIODS=-1","PER=Y"), "BETA_OVERRIDE_END_DT", _xll.BTODAY(), V$4, "BETA_OVERRIDE_PERIOD=D")</f>
        <v>0.30893870000000001</v>
      </c>
      <c r="W19" s="1" cm="1">
        <f t="array" ref="W19">_xll.BDP($A19, "BETA_ADJ_OVERRIDABLE", "BETA_OVERRIDE_START_DT", _xll.BADDPERIODS(_xll.BTODAY(),"NUMBEROFPERIODS=-1","PER=Y"), "BETA_OVERRIDE_END_DT", _xll.BTODAY(), W$4, "BETA_OVERRIDE_PERIOD=D")</f>
        <v>0.29038920000000001</v>
      </c>
      <c r="X19" s="1" cm="1">
        <f t="array" ref="X19">_xll.BDP($A19, "BETA_ADJ_OVERRIDABLE", "BETA_OVERRIDE_START_DT", _xll.BADDPERIODS(_xll.BTODAY(),"NUMBEROFPERIODS=-1","PER=Y"), "BETA_OVERRIDE_END_DT", _xll.BTODAY(), X$4, "BETA_OVERRIDE_PERIOD=D")</f>
        <v>0.26999669999999998</v>
      </c>
      <c r="Y19" s="1" cm="1">
        <f t="array" ref="Y19">_xll.BDP($A19, "BETA_ADJ_OVERRIDABLE", "BETA_OVERRIDE_START_DT", _xll.BADDPERIODS(_xll.BTODAY(),"NUMBEROFPERIODS=-1","PER=Y"), "BETA_OVERRIDE_END_DT", _xll.BTODAY(), Y$4, "BETA_OVERRIDE_PERIOD=D")</f>
        <v>0.28293469999999998</v>
      </c>
      <c r="Z19" s="1" cm="1">
        <f t="array" ref="Z19">_xll.BDP($A19, "BETA_ADJ_OVERRIDABLE", "BETA_OVERRIDE_START_DT", _xll.BADDPERIODS(_xll.BTODAY(),"NUMBEROFPERIODS=-1","PER=Y"), "BETA_OVERRIDE_END_DT", _xll.BTODAY(), Z$4, "BETA_OVERRIDE_PERIOD=D")</f>
        <v>0.33409369999999999</v>
      </c>
      <c r="AA19" s="1" cm="1">
        <f t="array" ref="AA19">_xll.BDP($A19, "BETA_ADJ_OVERRIDABLE", "BETA_OVERRIDE_START_DT", _xll.BADDPERIODS(_xll.BTODAY(),"NUMBEROFPERIODS=-1","PER=Y"), "BETA_OVERRIDE_END_DT", _xll.BTODAY(), AA$4, "BETA_OVERRIDE_PERIOD=D")</f>
        <v>0.45234669999999999</v>
      </c>
      <c r="AB19" s="1" cm="1">
        <f t="array" ref="AB19">_xll.BDP($A19, "BETA_ADJ_OVERRIDABLE", "BETA_OVERRIDE_START_DT", _xll.BADDPERIODS(_xll.BTODAY(),"NUMBEROFPERIODS=-1","PER=Y"), "BETA_OVERRIDE_END_DT", _xll.BTODAY(), AB$4, "BETA_OVERRIDE_PERIOD=D")</f>
        <v>0.46372180000000002</v>
      </c>
      <c r="AC19" s="1" cm="1">
        <f t="array" ref="AC19">_xll.BDP($A19, "BETA_ADJ_OVERRIDABLE", "BETA_OVERRIDE_START_DT", _xll.BADDPERIODS(_xll.BTODAY(),"NUMBEROFPERIODS=-1","PER=Y"), "BETA_OVERRIDE_END_DT", _xll.BTODAY(), AC$4, "BETA_OVERRIDE_PERIOD=D")</f>
        <v>0.47205599999999998</v>
      </c>
      <c r="AD19" s="1" cm="1">
        <f t="array" ref="AD19">_xll.BDP($A19, "BETA_ADJ_OVERRIDABLE", "BETA_OVERRIDE_START_DT", _xll.BADDPERIODS(_xll.BTODAY(),"NUMBEROFPERIODS=-1","PER=Y"), "BETA_OVERRIDE_END_DT", _xll.BTODAY(), AD$4, "BETA_OVERRIDE_PERIOD=D")</f>
        <v>2.4244869999999999E-3</v>
      </c>
      <c r="AE19" s="1" cm="1">
        <f t="array" ref="AE19">_xll.BDP($A19, "BETA_ADJ_OVERRIDABLE", "BETA_OVERRIDE_START_DT", _xll.BADDPERIODS(_xll.BTODAY(),"NUMBEROFPERIODS=-1","PER=Y"), "BETA_OVERRIDE_END_DT", _xll.BTODAY(), AE$4, "BETA_OVERRIDE_PERIOD=D")</f>
        <v>0.54821540000000002</v>
      </c>
      <c r="AF19" s="1" cm="1">
        <f t="array" ref="AF19">_xll.BDP($A19, "BETA_ADJ_OVERRIDABLE", "BETA_OVERRIDE_START_DT", _xll.BADDPERIODS(_xll.BTODAY(),"NUMBEROFPERIODS=-1","PER=Y"), "BETA_OVERRIDE_END_DT", _xll.BTODAY(), AF$4, "BETA_OVERRIDE_PERIOD=D")</f>
        <v>0.26419500000000001</v>
      </c>
      <c r="AG19" s="1" cm="1">
        <f t="array" ref="AG19">_xll.BDP($A19, "BETA_ADJ_OVERRIDABLE", "BETA_OVERRIDE_START_DT", _xll.BADDPERIODS(_xll.BTODAY(),"NUMBEROFPERIODS=-1","PER=Y"), "BETA_OVERRIDE_END_DT", _xll.BTODAY(), AG$4, "BETA_OVERRIDE_PERIOD=D")</f>
        <v>0.87796839999999998</v>
      </c>
      <c r="AH19" s="1" cm="1">
        <f t="array" ref="AH19">_xll.BDP($A19, "BETA_ADJ_OVERRIDABLE", "BETA_OVERRIDE_START_DT", _xll.BADDPERIODS(_xll.BTODAY(),"NUMBEROFPERIODS=-1","PER=Y"), "BETA_OVERRIDE_END_DT", _xll.BTODAY(), AH$4, "BETA_OVERRIDE_PERIOD=D")</f>
        <v>-1.7961210000000001</v>
      </c>
      <c r="AI19" s="1" cm="1">
        <f t="array" ref="AI19">_xll.BDP($A19, "BETA_ADJ_OVERRIDABLE", "BETA_OVERRIDE_START_DT", _xll.BADDPERIODS(_xll.BTODAY(),"NUMBEROFPERIODS=-1","PER=Y"), "BETA_OVERRIDE_END_DT", _xll.BTODAY(), AI$4, "BETA_OVERRIDE_PERIOD=D")</f>
        <v>1.4467760000000001</v>
      </c>
      <c r="AJ19" s="1" cm="1">
        <f t="array" ref="AJ19">_xll.BDP($A19, "BETA_ADJ_OVERRIDABLE", "BETA_OVERRIDE_START_DT", _xll.BADDPERIODS(_xll.BTODAY(),"NUMBEROFPERIODS=-1","PER=Y"), "BETA_OVERRIDE_END_DT", _xll.BTODAY(), AJ$4, "BETA_OVERRIDE_PERIOD=D")</f>
        <v>0.37395630000000002</v>
      </c>
      <c r="AK19" s="1" cm="1">
        <f t="array" ref="AK19">_xll.BDP($A19, "BETA_ADJ_OVERRIDABLE", "BETA_OVERRIDE_START_DT", _xll.BADDPERIODS(_xll.BTODAY(),"NUMBEROFPERIODS=-1","PER=Y"), "BETA_OVERRIDE_END_DT", _xll.BTODAY(), AK$4, "BETA_OVERRIDE_PERIOD=D")</f>
        <v>0.35992829999999998</v>
      </c>
      <c r="AL19" s="1" cm="1">
        <f t="array" ref="AL19">_xll.BDP($A19, "BETA_ADJ_OVERRIDABLE", "BETA_OVERRIDE_START_DT", _xll.BADDPERIODS(_xll.BTODAY(),"NUMBEROFPERIODS=-1","PER=Y"), "BETA_OVERRIDE_END_DT", _xll.BTODAY(), AL$4, "BETA_OVERRIDE_PERIOD=D")</f>
        <v>0.403333</v>
      </c>
      <c r="AM19" s="1" cm="1">
        <f t="array" ref="AM19">_xll.BDP($A19, "BETA_ADJ_OVERRIDABLE", "BETA_OVERRIDE_START_DT", _xll.BADDPERIODS(_xll.BTODAY(),"NUMBEROFPERIODS=-1","PER=Y"), "BETA_OVERRIDE_END_DT", _xll.BTODAY(), AM$4, "BETA_OVERRIDE_PERIOD=D")</f>
        <v>0.51291379999999998</v>
      </c>
      <c r="AN19" s="1" cm="1">
        <f t="array" ref="AN19">_xll.BDP($A19, "BETA_ADJ_OVERRIDABLE", "BETA_OVERRIDE_START_DT", _xll.BADDPERIODS(_xll.BTODAY(),"NUMBEROFPERIODS=-1","PER=Y"), "BETA_OVERRIDE_END_DT", _xll.BTODAY(), AN$4, "BETA_OVERRIDE_PERIOD=D")</f>
        <v>0.74180159999999995</v>
      </c>
      <c r="AO19" s="1" cm="1">
        <f t="array" ref="AO19">_xll.BDP($A19, "BETA_ADJ_OVERRIDABLE", "BETA_OVERRIDE_START_DT", _xll.BADDPERIODS(_xll.BTODAY(),"NUMBEROFPERIODS=-1","PER=Y"), "BETA_OVERRIDE_END_DT", _xll.BTODAY(), AO$4, "BETA_OVERRIDE_PERIOD=D")</f>
        <v>0.45010509999999998</v>
      </c>
    </row>
    <row r="20" spans="1:41" x14ac:dyDescent="0.25">
      <c r="A20" t="s">
        <v>56</v>
      </c>
      <c r="B20" s="1" cm="1">
        <f t="array" ref="B20">_xll.BDP($A20, B$4)</f>
        <v>0.8359297</v>
      </c>
      <c r="C20" s="1" cm="1">
        <f t="array" ref="C20">_xll.BDP($A20, C$4)</f>
        <v>31.813279999999999</v>
      </c>
      <c r="D20" s="1" cm="1">
        <f t="array" ref="D20">_xll.BDP($A20, "BETA_ADJ_OVERRIDABLE", "BETA_OVERRIDE_START_DT", _xll.BADDPERIODS(_xll.BTODAY(),"NUMBEROFPERIODS=-5","PER=Y"), "BETA_OVERRIDE_END_DT", _xll.BTODAY(), D$4, "BETA_OVERRIDE_PERIOD=M")</f>
        <v>1.204609</v>
      </c>
      <c r="E20" s="1" cm="1">
        <f t="array" ref="E20">_xll.BDP($A20, "BETA_ADJ_OVERRIDABLE", "BETA_OVERRIDE_START_DT", _xll.BADDPERIODS(_xll.BTODAY(),"NUMBEROFPERIODS=-3","PER=Y"), "BETA_OVERRIDE_END_DT", _xll.BTODAY(), E$4, "BETA_OVERRIDE_PERIOD=W")</f>
        <v>1.2513890000000001</v>
      </c>
      <c r="F20" s="1" cm="1">
        <f t="array" ref="F20">_xll.BDP($A20, "BETA_ADJ_OVERRIDABLE", "BETA_OVERRIDE_START_DT", _xll.BADDPERIODS(_xll.BTODAY(),"NUMBEROFPERIODS=-1","PER=Y"), "BETA_OVERRIDE_END_DT", _xll.BTODAY(), F$4, "BETA_OVERRIDE_PERIOD=D")</f>
        <v>1.244235</v>
      </c>
      <c r="G20" s="1" cm="1">
        <f t="array" ref="G20">_xll.BDP($A20, "BETA_ADJ_OVERRIDABLE", "BETA_OVERRIDE_START_DT", _xll.BADDPERIODS(_xll.BTODAY(),"NUMBEROFPERIODS=-1","PER=Y"), "BETA_OVERRIDE_END_DT", _xll.BTODAY(), G$4, "BETA_OVERRIDE_PERIOD=D")</f>
        <v>1.173006</v>
      </c>
      <c r="H20" s="1" cm="1">
        <f t="array" ref="H20">_xll.BDP($A20, "BETA_ADJ_OVERRIDABLE", "BETA_OVERRIDE_START_DT", _xll.BADDPERIODS(_xll.BTODAY(),"NUMBEROFPERIODS=-1","PER=Y"), "BETA_OVERRIDE_END_DT", _xll.BTODAY(), H$4, "BETA_OVERRIDE_PERIOD=D")</f>
        <v>1.108617</v>
      </c>
      <c r="I20" s="1" cm="1">
        <f t="array" ref="I20">_xll.BDP($A20, "BETA_ADJ_OVERRIDABLE", "BETA_OVERRIDE_START_DT", _xll.BADDPERIODS(_xll.BTODAY(),"NUMBEROFPERIODS=-1","PER=Y"), "BETA_OVERRIDE_END_DT", _xll.BTODAY(), I$4, "BETA_OVERRIDE_PERIOD=D")</f>
        <v>1.0379080000000001</v>
      </c>
      <c r="J20" s="1" cm="1">
        <f t="array" ref="J20">_xll.BDP($A20, "BETA_ADJ_OVERRIDABLE", "BETA_OVERRIDE_START_DT", _xll.BADDPERIODS(_xll.BTODAY(),"NUMBEROFPERIODS=-1","PER=Y"), "BETA_OVERRIDE_END_DT", _xll.BTODAY(), J$4, "BETA_OVERRIDE_PERIOD=D")</f>
        <v>1.3557060000000001</v>
      </c>
      <c r="K20" s="1" cm="1">
        <f t="array" ref="K20">_xll.BDP($A20, "BETA_ADJ_OVERRIDABLE", "BETA_OVERRIDE_START_DT", _xll.BADDPERIODS(_xll.BTODAY(),"NUMBEROFPERIODS=-1","PER=Y"), "BETA_OVERRIDE_END_DT", _xll.BTODAY(), K$4, "BETA_OVERRIDE_PERIOD=D")</f>
        <v>1.0287630000000001</v>
      </c>
      <c r="L20" s="1" cm="1">
        <f t="array" ref="L20">_xll.BDP($A20, "BETA_ADJ_OVERRIDABLE", "BETA_OVERRIDE_START_DT", _xll.BADDPERIODS(_xll.BTODAY(),"NUMBEROFPERIODS=-1","PER=Y"), "BETA_OVERRIDE_END_DT", _xll.BTODAY(), L$4, "BETA_OVERRIDE_PERIOD=D")</f>
        <v>0.4573702</v>
      </c>
      <c r="M20" s="1" cm="1">
        <f t="array" ref="M20">_xll.BDP($A20, "BETA_ADJ_OVERRIDABLE", "BETA_OVERRIDE_START_DT", _xll.BADDPERIODS(_xll.BTODAY(),"NUMBEROFPERIODS=-1","PER=Y"), "BETA_OVERRIDE_END_DT", _xll.BTODAY(), M$4, "BETA_OVERRIDE_PERIOD=D")</f>
        <v>0.50159980000000004</v>
      </c>
      <c r="N20" s="1" cm="1">
        <f t="array" ref="N20">_xll.BDP($A20, "BETA_ADJ_OVERRIDABLE", "BETA_OVERRIDE_START_DT", _xll.BADDPERIODS(_xll.BTODAY(),"NUMBEROFPERIODS=-1","PER=Y"), "BETA_OVERRIDE_END_DT", _xll.BTODAY(), N$4, "BETA_OVERRIDE_PERIOD=D")</f>
        <v>1.4388669999999999</v>
      </c>
      <c r="O20" s="1" cm="1">
        <f t="array" ref="O20">_xll.BDP($A20, "BETA_ADJ_OVERRIDABLE", "BETA_OVERRIDE_START_DT", _xll.BADDPERIODS(_xll.BTODAY(),"NUMBEROFPERIODS=-1","PER=Y"), "BETA_OVERRIDE_END_DT", _xll.BTODAY(), O$4, "BETA_OVERRIDE_PERIOD=D")</f>
        <v>0.57279860000000005</v>
      </c>
      <c r="P20" s="1" cm="1">
        <f t="array" ref="P20">_xll.BDP($A20, "BETA_ADJ_OVERRIDABLE", "BETA_OVERRIDE_START_DT", _xll.BADDPERIODS(_xll.BTODAY(),"NUMBEROFPERIODS=-1","PER=Y"), "BETA_OVERRIDE_END_DT", _xll.BTODAY(), P$4, "BETA_OVERRIDE_PERIOD=D")</f>
        <v>0.3455725</v>
      </c>
      <c r="Q20" s="1" cm="1">
        <f t="array" ref="Q20">_xll.BDP($A20, "BETA_ADJ_OVERRIDABLE", "BETA_OVERRIDE_START_DT", _xll.BADDPERIODS(_xll.BTODAY(),"NUMBEROFPERIODS=-1","PER=Y"), "BETA_OVERRIDE_END_DT", _xll.BTODAY(), Q$4, "BETA_OVERRIDE_PERIOD=D")</f>
        <v>0.25993070000000001</v>
      </c>
      <c r="R20" s="1" cm="1">
        <f t="array" ref="R20">_xll.BDP($A20, "BETA_ADJ_OVERRIDABLE", "BETA_OVERRIDE_START_DT", _xll.BADDPERIODS(_xll.BTODAY(),"NUMBEROFPERIODS=-1","PER=Y"), "BETA_OVERRIDE_END_DT", _xll.BTODAY(), R$4, "BETA_OVERRIDE_PERIOD=D")</f>
        <v>1.131486</v>
      </c>
      <c r="S20" s="1" cm="1">
        <f t="array" ref="S20">_xll.BDP($A20, "BETA_ADJ_OVERRIDABLE", "BETA_OVERRIDE_START_DT", _xll.BADDPERIODS(_xll.BTODAY(),"NUMBEROFPERIODS=-1","PER=Y"), "BETA_OVERRIDE_END_DT", _xll.BTODAY(), S$4, "BETA_OVERRIDE_PERIOD=D")</f>
        <v>4.2339539999999998</v>
      </c>
      <c r="T20" s="1" cm="1">
        <f t="array" ref="T20">_xll.BDP($A20, "BETA_ADJ_OVERRIDABLE", "BETA_OVERRIDE_START_DT", _xll.BADDPERIODS(_xll.BTODAY(),"NUMBEROFPERIODS=-1","PER=Y"), "BETA_OVERRIDE_END_DT", _xll.BTODAY(), T$4, "BETA_OVERRIDE_PERIOD=D")</f>
        <v>0.25572600000000001</v>
      </c>
      <c r="U20" s="1" cm="1">
        <f t="array" ref="U20">_xll.BDP($A20, "BETA_ADJ_OVERRIDABLE", "BETA_OVERRIDE_START_DT", _xll.BADDPERIODS(_xll.BTODAY(),"NUMBEROFPERIODS=-1","PER=Y"), "BETA_OVERRIDE_END_DT", _xll.BTODAY(), U$4, "BETA_OVERRIDE_PERIOD=D")</f>
        <v>1.1002419999999999</v>
      </c>
      <c r="V20" s="1" cm="1">
        <f t="array" ref="V20">_xll.BDP($A20, "BETA_ADJ_OVERRIDABLE", "BETA_OVERRIDE_START_DT", _xll.BADDPERIODS(_xll.BTODAY(),"NUMBEROFPERIODS=-1","PER=Y"), "BETA_OVERRIDE_END_DT", _xll.BTODAY(), V$4, "BETA_OVERRIDE_PERIOD=D")</f>
        <v>0.7857613</v>
      </c>
      <c r="W20" s="1" cm="1">
        <f t="array" ref="W20">_xll.BDP($A20, "BETA_ADJ_OVERRIDABLE", "BETA_OVERRIDE_START_DT", _xll.BADDPERIODS(_xll.BTODAY(),"NUMBEROFPERIODS=-1","PER=Y"), "BETA_OVERRIDE_END_DT", _xll.BTODAY(), W$4, "BETA_OVERRIDE_PERIOD=D")</f>
        <v>0.3455725</v>
      </c>
      <c r="X20" s="1" cm="1">
        <f t="array" ref="X20">_xll.BDP($A20, "BETA_ADJ_OVERRIDABLE", "BETA_OVERRIDE_START_DT", _xll.BADDPERIODS(_xll.BTODAY(),"NUMBEROFPERIODS=-1","PER=Y"), "BETA_OVERRIDE_END_DT", _xll.BTODAY(), X$4, "BETA_OVERRIDE_PERIOD=D")</f>
        <v>0.41960769999999997</v>
      </c>
      <c r="Y20" s="1" cm="1">
        <f t="array" ref="Y20">_xll.BDP($A20, "BETA_ADJ_OVERRIDABLE", "BETA_OVERRIDE_START_DT", _xll.BADDPERIODS(_xll.BTODAY(),"NUMBEROFPERIODS=-1","PER=Y"), "BETA_OVERRIDE_END_DT", _xll.BTODAY(), Y$4, "BETA_OVERRIDE_PERIOD=D")</f>
        <v>0.43249470000000001</v>
      </c>
      <c r="Z20" s="1" cm="1">
        <f t="array" ref="Z20">_xll.BDP($A20, "BETA_ADJ_OVERRIDABLE", "BETA_OVERRIDE_START_DT", _xll.BADDPERIODS(_xll.BTODAY(),"NUMBEROFPERIODS=-1","PER=Y"), "BETA_OVERRIDE_END_DT", _xll.BTODAY(), Z$4, "BETA_OVERRIDE_PERIOD=D")</f>
        <v>0.34736159999999999</v>
      </c>
      <c r="AA20" s="1" cm="1">
        <f t="array" ref="AA20">_xll.BDP($A20, "BETA_ADJ_OVERRIDABLE", "BETA_OVERRIDE_START_DT", _xll.BADDPERIODS(_xll.BTODAY(),"NUMBEROFPERIODS=-1","PER=Y"), "BETA_OVERRIDE_END_DT", _xll.BTODAY(), AA$4, "BETA_OVERRIDE_PERIOD=D")</f>
        <v>0.4191513</v>
      </c>
      <c r="AB20" s="1" cm="1">
        <f t="array" ref="AB20">_xll.BDP($A20, "BETA_ADJ_OVERRIDABLE", "BETA_OVERRIDE_START_DT", _xll.BADDPERIODS(_xll.BTODAY(),"NUMBEROFPERIODS=-1","PER=Y"), "BETA_OVERRIDE_END_DT", _xll.BTODAY(), AB$4, "BETA_OVERRIDE_PERIOD=D")</f>
        <v>0.67794189999999999</v>
      </c>
      <c r="AC20" s="1" cm="1">
        <f t="array" ref="AC20">_xll.BDP($A20, "BETA_ADJ_OVERRIDABLE", "BETA_OVERRIDE_START_DT", _xll.BADDPERIODS(_xll.BTODAY(),"NUMBEROFPERIODS=-1","PER=Y"), "BETA_OVERRIDE_END_DT", _xll.BTODAY(), AC$4, "BETA_OVERRIDE_PERIOD=D")</f>
        <v>0.62413490000000005</v>
      </c>
      <c r="AD20" s="1" cm="1">
        <f t="array" ref="AD20">_xll.BDP($A20, "BETA_ADJ_OVERRIDABLE", "BETA_OVERRIDE_START_DT", _xll.BADDPERIODS(_xll.BTODAY(),"NUMBEROFPERIODS=-1","PER=Y"), "BETA_OVERRIDE_END_DT", _xll.BTODAY(), AD$4, "BETA_OVERRIDE_PERIOD=D")</f>
        <v>0.44969789999999998</v>
      </c>
      <c r="AE20" s="1" cm="1">
        <f t="array" ref="AE20">_xll.BDP($A20, "BETA_ADJ_OVERRIDABLE", "BETA_OVERRIDE_START_DT", _xll.BADDPERIODS(_xll.BTODAY(),"NUMBEROFPERIODS=-1","PER=Y"), "BETA_OVERRIDE_END_DT", _xll.BTODAY(), AE$4, "BETA_OVERRIDE_PERIOD=D")</f>
        <v>0.15105180000000001</v>
      </c>
      <c r="AF20" s="1" cm="1">
        <f t="array" ref="AF20">_xll.BDP($A20, "BETA_ADJ_OVERRIDABLE", "BETA_OVERRIDE_START_DT", _xll.BADDPERIODS(_xll.BTODAY(),"NUMBEROFPERIODS=-1","PER=Y"), "BETA_OVERRIDE_END_DT", _xll.BTODAY(), AF$4, "BETA_OVERRIDE_PERIOD=D")</f>
        <v>0.76922520000000005</v>
      </c>
      <c r="AG20" s="1" cm="1">
        <f t="array" ref="AG20">_xll.BDP($A20, "BETA_ADJ_OVERRIDABLE", "BETA_OVERRIDE_START_DT", _xll.BADDPERIODS(_xll.BTODAY(),"NUMBEROFPERIODS=-1","PER=Y"), "BETA_OVERRIDE_END_DT", _xll.BTODAY(), AG$4, "BETA_OVERRIDE_PERIOD=D")</f>
        <v>0.64487570000000005</v>
      </c>
      <c r="AH20" s="1" cm="1">
        <f t="array" ref="AH20">_xll.BDP($A20, "BETA_ADJ_OVERRIDABLE", "BETA_OVERRIDE_START_DT", _xll.BADDPERIODS(_xll.BTODAY(),"NUMBEROFPERIODS=-1","PER=Y"), "BETA_OVERRIDE_END_DT", _xll.BTODAY(), AH$4, "BETA_OVERRIDE_PERIOD=D")</f>
        <v>-4.8389399999999999E-2</v>
      </c>
      <c r="AI20" s="1" cm="1">
        <f t="array" ref="AI20">_xll.BDP($A20, "BETA_ADJ_OVERRIDABLE", "BETA_OVERRIDE_START_DT", _xll.BADDPERIODS(_xll.BTODAY(),"NUMBEROFPERIODS=-1","PER=Y"), "BETA_OVERRIDE_END_DT", _xll.BTODAY(), AI$4, "BETA_OVERRIDE_PERIOD=D")</f>
        <v>0.2425214</v>
      </c>
      <c r="AJ20" s="1" cm="1">
        <f t="array" ref="AJ20">_xll.BDP($A20, "BETA_ADJ_OVERRIDABLE", "BETA_OVERRIDE_START_DT", _xll.BADDPERIODS(_xll.BTODAY(),"NUMBEROFPERIODS=-1","PER=Y"), "BETA_OVERRIDE_END_DT", _xll.BTODAY(), AJ$4, "BETA_OVERRIDE_PERIOD=D")</f>
        <v>0.56716540000000004</v>
      </c>
      <c r="AK20" s="1" cm="1">
        <f t="array" ref="AK20">_xll.BDP($A20, "BETA_ADJ_OVERRIDABLE", "BETA_OVERRIDE_START_DT", _xll.BADDPERIODS(_xll.BTODAY(),"NUMBEROFPERIODS=-1","PER=Y"), "BETA_OVERRIDE_END_DT", _xll.BTODAY(), AK$4, "BETA_OVERRIDE_PERIOD=D")</f>
        <v>0.48126370000000002</v>
      </c>
      <c r="AL20" s="1" cm="1">
        <f t="array" ref="AL20">_xll.BDP($A20, "BETA_ADJ_OVERRIDABLE", "BETA_OVERRIDE_START_DT", _xll.BADDPERIODS(_xll.BTODAY(),"NUMBEROFPERIODS=-1","PER=Y"), "BETA_OVERRIDE_END_DT", _xll.BTODAY(), AL$4, "BETA_OVERRIDE_PERIOD=D")</f>
        <v>0.50490060000000003</v>
      </c>
      <c r="AM20" s="1" cm="1">
        <f t="array" ref="AM20">_xll.BDP($A20, "BETA_ADJ_OVERRIDABLE", "BETA_OVERRIDE_START_DT", _xll.BADDPERIODS(_xll.BTODAY(),"NUMBEROFPERIODS=-1","PER=Y"), "BETA_OVERRIDE_END_DT", _xll.BTODAY(), AM$4, "BETA_OVERRIDE_PERIOD=D")</f>
        <v>1.006534</v>
      </c>
      <c r="AN20" s="1" cm="1">
        <f t="array" ref="AN20">_xll.BDP($A20, "BETA_ADJ_OVERRIDABLE", "BETA_OVERRIDE_START_DT", _xll.BADDPERIODS(_xll.BTODAY(),"NUMBEROFPERIODS=-1","PER=Y"), "BETA_OVERRIDE_END_DT", _xll.BTODAY(), AN$4, "BETA_OVERRIDE_PERIOD=D")</f>
        <v>1.0960179999999999</v>
      </c>
      <c r="AO20" s="1" cm="1">
        <f t="array" ref="AO20">_xll.BDP($A20, "BETA_ADJ_OVERRIDABLE", "BETA_OVERRIDE_START_DT", _xll.BADDPERIODS(_xll.BTODAY(),"NUMBEROFPERIODS=-1","PER=Y"), "BETA_OVERRIDE_END_DT", _xll.BTODAY(), AO$4, "BETA_OVERRIDE_PERIOD=D")</f>
        <v>1.1763520000000001</v>
      </c>
    </row>
    <row r="21" spans="1:41" x14ac:dyDescent="0.25">
      <c r="A21" t="s">
        <v>57</v>
      </c>
      <c r="B21" s="1" cm="1">
        <f t="array" ref="B21">_xll.BDP($A21, B$4)</f>
        <v>0.84170959999999995</v>
      </c>
      <c r="C21" s="1" cm="1">
        <f t="array" ref="C21">_xll.BDP($A21, C$4)</f>
        <v>30.0809</v>
      </c>
      <c r="D21" s="1" cm="1">
        <f t="array" ref="D21">_xll.BDP($A21, "BETA_ADJ_OVERRIDABLE", "BETA_OVERRIDE_START_DT", _xll.BADDPERIODS(_xll.BTODAY(),"NUMBEROFPERIODS=-5","PER=Y"), "BETA_OVERRIDE_END_DT", _xll.BTODAY(), D$4, "BETA_OVERRIDE_PERIOD=M")</f>
        <v>1.225584</v>
      </c>
      <c r="E21" s="1" cm="1">
        <f t="array" ref="E21">_xll.BDP($A21, "BETA_ADJ_OVERRIDABLE", "BETA_OVERRIDE_START_DT", _xll.BADDPERIODS(_xll.BTODAY(),"NUMBEROFPERIODS=-3","PER=Y"), "BETA_OVERRIDE_END_DT", _xll.BTODAY(), E$4, "BETA_OVERRIDE_PERIOD=W")</f>
        <v>1.224945</v>
      </c>
      <c r="F21" s="1" cm="1">
        <f t="array" ref="F21">_xll.BDP($A21, "BETA_ADJ_OVERRIDABLE", "BETA_OVERRIDE_START_DT", _xll.BADDPERIODS(_xll.BTODAY(),"NUMBEROFPERIODS=-1","PER=Y"), "BETA_OVERRIDE_END_DT", _xll.BTODAY(), F$4, "BETA_OVERRIDE_PERIOD=D")</f>
        <v>1.19547</v>
      </c>
      <c r="G21" s="1" cm="1">
        <f t="array" ref="G21">_xll.BDP($A21, "BETA_ADJ_OVERRIDABLE", "BETA_OVERRIDE_START_DT", _xll.BADDPERIODS(_xll.BTODAY(),"NUMBEROFPERIODS=-1","PER=Y"), "BETA_OVERRIDE_END_DT", _xll.BTODAY(), G$4, "BETA_OVERRIDE_PERIOD=D")</f>
        <v>1.1575299999999999</v>
      </c>
      <c r="H21" s="1" cm="1">
        <f t="array" ref="H21">_xll.BDP($A21, "BETA_ADJ_OVERRIDABLE", "BETA_OVERRIDE_START_DT", _xll.BADDPERIODS(_xll.BTODAY(),"NUMBEROFPERIODS=-1","PER=Y"), "BETA_OVERRIDE_END_DT", _xll.BTODAY(), H$4, "BETA_OVERRIDE_PERIOD=D")</f>
        <v>1.0760810000000001</v>
      </c>
      <c r="I21" s="1" cm="1">
        <f t="array" ref="I21">_xll.BDP($A21, "BETA_ADJ_OVERRIDABLE", "BETA_OVERRIDE_START_DT", _xll.BADDPERIODS(_xll.BTODAY(),"NUMBEROFPERIODS=-1","PER=Y"), "BETA_OVERRIDE_END_DT", _xll.BTODAY(), I$4, "BETA_OVERRIDE_PERIOD=D")</f>
        <v>0.97914610000000002</v>
      </c>
      <c r="J21" s="1" cm="1">
        <f t="array" ref="J21">_xll.BDP($A21, "BETA_ADJ_OVERRIDABLE", "BETA_OVERRIDE_START_DT", _xll.BADDPERIODS(_xll.BTODAY(),"NUMBEROFPERIODS=-1","PER=Y"), "BETA_OVERRIDE_END_DT", _xll.BTODAY(), J$4, "BETA_OVERRIDE_PERIOD=D")</f>
        <v>1.3559060000000001</v>
      </c>
      <c r="K21" s="1" cm="1">
        <f t="array" ref="K21">_xll.BDP($A21, "BETA_ADJ_OVERRIDABLE", "BETA_OVERRIDE_START_DT", _xll.BADDPERIODS(_xll.BTODAY(),"NUMBEROFPERIODS=-1","PER=Y"), "BETA_OVERRIDE_END_DT", _xll.BTODAY(), K$4, "BETA_OVERRIDE_PERIOD=D")</f>
        <v>0.96592230000000001</v>
      </c>
      <c r="L21" s="1" cm="1">
        <f t="array" ref="L21">_xll.BDP($A21, "BETA_ADJ_OVERRIDABLE", "BETA_OVERRIDE_START_DT", _xll.BADDPERIODS(_xll.BTODAY(),"NUMBEROFPERIODS=-1","PER=Y"), "BETA_OVERRIDE_END_DT", _xll.BTODAY(), L$4, "BETA_OVERRIDE_PERIOD=D")</f>
        <v>0.4296739</v>
      </c>
      <c r="M21" s="1" cm="1">
        <f t="array" ref="M21">_xll.BDP($A21, "BETA_ADJ_OVERRIDABLE", "BETA_OVERRIDE_START_DT", _xll.BADDPERIODS(_xll.BTODAY(),"NUMBEROFPERIODS=-1","PER=Y"), "BETA_OVERRIDE_END_DT", _xll.BTODAY(), M$4, "BETA_OVERRIDE_PERIOD=D")</f>
        <v>0.48354930000000002</v>
      </c>
      <c r="N21" s="1" cm="1">
        <f t="array" ref="N21">_xll.BDP($A21, "BETA_ADJ_OVERRIDABLE", "BETA_OVERRIDE_START_DT", _xll.BADDPERIODS(_xll.BTODAY(),"NUMBEROFPERIODS=-1","PER=Y"), "BETA_OVERRIDE_END_DT", _xll.BTODAY(), N$4, "BETA_OVERRIDE_PERIOD=D")</f>
        <v>1.3659490000000001</v>
      </c>
      <c r="O21" s="1" cm="1">
        <f t="array" ref="O21">_xll.BDP($A21, "BETA_ADJ_OVERRIDABLE", "BETA_OVERRIDE_START_DT", _xll.BADDPERIODS(_xll.BTODAY(),"NUMBEROFPERIODS=-1","PER=Y"), "BETA_OVERRIDE_END_DT", _xll.BTODAY(), O$4, "BETA_OVERRIDE_PERIOD=D")</f>
        <v>0.57506639999999998</v>
      </c>
      <c r="P21" s="1" cm="1">
        <f t="array" ref="P21">_xll.BDP($A21, "BETA_ADJ_OVERRIDABLE", "BETA_OVERRIDE_START_DT", _xll.BADDPERIODS(_xll.BTODAY(),"NUMBEROFPERIODS=-1","PER=Y"), "BETA_OVERRIDE_END_DT", _xll.BTODAY(), P$4, "BETA_OVERRIDE_PERIOD=D")</f>
        <v>0.36688900000000002</v>
      </c>
      <c r="Q21" s="1" cm="1">
        <f t="array" ref="Q21">_xll.BDP($A21, "BETA_ADJ_OVERRIDABLE", "BETA_OVERRIDE_START_DT", _xll.BADDPERIODS(_xll.BTODAY(),"NUMBEROFPERIODS=-1","PER=Y"), "BETA_OVERRIDE_END_DT", _xll.BTODAY(), Q$4, "BETA_OVERRIDE_PERIOD=D")</f>
        <v>0.13734589999999999</v>
      </c>
      <c r="R21" s="1" cm="1">
        <f t="array" ref="R21">_xll.BDP($A21, "BETA_ADJ_OVERRIDABLE", "BETA_OVERRIDE_START_DT", _xll.BADDPERIODS(_xll.BTODAY(),"NUMBEROFPERIODS=-1","PER=Y"), "BETA_OVERRIDE_END_DT", _xll.BTODAY(), R$4, "BETA_OVERRIDE_PERIOD=D")</f>
        <v>0.98564320000000005</v>
      </c>
      <c r="S21" s="1" cm="1">
        <f t="array" ref="S21">_xll.BDP($A21, "BETA_ADJ_OVERRIDABLE", "BETA_OVERRIDE_START_DT", _xll.BADDPERIODS(_xll.BTODAY(),"NUMBEROFPERIODS=-1","PER=Y"), "BETA_OVERRIDE_END_DT", _xll.BTODAY(), S$4, "BETA_OVERRIDE_PERIOD=D")</f>
        <v>4.0343520000000002</v>
      </c>
      <c r="T21" s="1" cm="1">
        <f t="array" ref="T21">_xll.BDP($A21, "BETA_ADJ_OVERRIDABLE", "BETA_OVERRIDE_START_DT", _xll.BADDPERIODS(_xll.BTODAY(),"NUMBEROFPERIODS=-1","PER=Y"), "BETA_OVERRIDE_END_DT", _xll.BTODAY(), T$4, "BETA_OVERRIDE_PERIOD=D")</f>
        <v>0.1029138</v>
      </c>
      <c r="U21" s="1" cm="1">
        <f t="array" ref="U21">_xll.BDP($A21, "BETA_ADJ_OVERRIDABLE", "BETA_OVERRIDE_START_DT", _xll.BADDPERIODS(_xll.BTODAY(),"NUMBEROFPERIODS=-1","PER=Y"), "BETA_OVERRIDE_END_DT", _xll.BTODAY(), U$4, "BETA_OVERRIDE_PERIOD=D")</f>
        <v>0.98809689999999994</v>
      </c>
      <c r="V21" s="1" cm="1">
        <f t="array" ref="V21">_xll.BDP($A21, "BETA_ADJ_OVERRIDABLE", "BETA_OVERRIDE_START_DT", _xll.BADDPERIODS(_xll.BTODAY(),"NUMBEROFPERIODS=-1","PER=Y"), "BETA_OVERRIDE_END_DT", _xll.BTODAY(), V$4, "BETA_OVERRIDE_PERIOD=D")</f>
        <v>0.72801159999999998</v>
      </c>
      <c r="W21" s="1" cm="1">
        <f t="array" ref="W21">_xll.BDP($A21, "BETA_ADJ_OVERRIDABLE", "BETA_OVERRIDE_START_DT", _xll.BADDPERIODS(_xll.BTODAY(),"NUMBEROFPERIODS=-1","PER=Y"), "BETA_OVERRIDE_END_DT", _xll.BTODAY(), W$4, "BETA_OVERRIDE_PERIOD=D")</f>
        <v>0.36688900000000002</v>
      </c>
      <c r="X21" s="1" cm="1">
        <f t="array" ref="X21">_xll.BDP($A21, "BETA_ADJ_OVERRIDABLE", "BETA_OVERRIDE_START_DT", _xll.BADDPERIODS(_xll.BTODAY(),"NUMBEROFPERIODS=-1","PER=Y"), "BETA_OVERRIDE_END_DT", _xll.BTODAY(), X$4, "BETA_OVERRIDE_PERIOD=D")</f>
        <v>0.45974389999999998</v>
      </c>
      <c r="Y21" s="1" cm="1">
        <f t="array" ref="Y21">_xll.BDP($A21, "BETA_ADJ_OVERRIDABLE", "BETA_OVERRIDE_START_DT", _xll.BADDPERIODS(_xll.BTODAY(),"NUMBEROFPERIODS=-1","PER=Y"), "BETA_OVERRIDE_END_DT", _xll.BTODAY(), Y$4, "BETA_OVERRIDE_PERIOD=D")</f>
        <v>0.4715067</v>
      </c>
      <c r="Z21" s="1" cm="1">
        <f t="array" ref="Z21">_xll.BDP($A21, "BETA_ADJ_OVERRIDABLE", "BETA_OVERRIDE_START_DT", _xll.BADDPERIODS(_xll.BTODAY(),"NUMBEROFPERIODS=-1","PER=Y"), "BETA_OVERRIDE_END_DT", _xll.BTODAY(), Z$4, "BETA_OVERRIDE_PERIOD=D")</f>
        <v>0.33124389999999998</v>
      </c>
      <c r="AA21" s="1" cm="1">
        <f t="array" ref="AA21">_xll.BDP($A21, "BETA_ADJ_OVERRIDABLE", "BETA_OVERRIDE_START_DT", _xll.BADDPERIODS(_xll.BTODAY(),"NUMBEROFPERIODS=-1","PER=Y"), "BETA_OVERRIDE_END_DT", _xll.BTODAY(), AA$4, "BETA_OVERRIDE_PERIOD=D")</f>
        <v>0.41045160000000003</v>
      </c>
      <c r="AB21" s="1" cm="1">
        <f t="array" ref="AB21">_xll.BDP($A21, "BETA_ADJ_OVERRIDABLE", "BETA_OVERRIDE_START_DT", _xll.BADDPERIODS(_xll.BTODAY(),"NUMBEROFPERIODS=-1","PER=Y"), "BETA_OVERRIDE_END_DT", _xll.BTODAY(), AB$4, "BETA_OVERRIDE_PERIOD=D")</f>
        <v>0.72265860000000004</v>
      </c>
      <c r="AC21" s="1" cm="1">
        <f t="array" ref="AC21">_xll.BDP($A21, "BETA_ADJ_OVERRIDABLE", "BETA_OVERRIDE_START_DT", _xll.BADDPERIODS(_xll.BTODAY(),"NUMBEROFPERIODS=-1","PER=Y"), "BETA_OVERRIDE_END_DT", _xll.BTODAY(), AC$4, "BETA_OVERRIDE_PERIOD=D")</f>
        <v>0.62122940000000004</v>
      </c>
      <c r="AD21" s="1" cm="1">
        <f t="array" ref="AD21">_xll.BDP($A21, "BETA_ADJ_OVERRIDABLE", "BETA_OVERRIDE_START_DT", _xll.BADDPERIODS(_xll.BTODAY(),"NUMBEROFPERIODS=-1","PER=Y"), "BETA_OVERRIDE_END_DT", _xll.BTODAY(), AD$4, "BETA_OVERRIDE_PERIOD=D")</f>
        <v>0.56045579999999995</v>
      </c>
      <c r="AE21" s="1" cm="1">
        <f t="array" ref="AE21">_xll.BDP($A21, "BETA_ADJ_OVERRIDABLE", "BETA_OVERRIDE_START_DT", _xll.BADDPERIODS(_xll.BTODAY(),"NUMBEROFPERIODS=-1","PER=Y"), "BETA_OVERRIDE_END_DT", _xll.BTODAY(), AE$4, "BETA_OVERRIDE_PERIOD=D")</f>
        <v>6.7034540000000004E-2</v>
      </c>
      <c r="AF21" s="1" cm="1">
        <f t="array" ref="AF21">_xll.BDP($A21, "BETA_ADJ_OVERRIDABLE", "BETA_OVERRIDE_START_DT", _xll.BADDPERIODS(_xll.BTODAY(),"NUMBEROFPERIODS=-1","PER=Y"), "BETA_OVERRIDE_END_DT", _xll.BTODAY(), AF$4, "BETA_OVERRIDE_PERIOD=D")</f>
        <v>0.81396349999999995</v>
      </c>
      <c r="AG21" s="1" cm="1">
        <f t="array" ref="AG21">_xll.BDP($A21, "BETA_ADJ_OVERRIDABLE", "BETA_OVERRIDE_START_DT", _xll.BADDPERIODS(_xll.BTODAY(),"NUMBEROFPERIODS=-1","PER=Y"), "BETA_OVERRIDE_END_DT", _xll.BTODAY(), AG$4, "BETA_OVERRIDE_PERIOD=D")</f>
        <v>0.52420909999999998</v>
      </c>
      <c r="AH21" s="1" cm="1">
        <f t="array" ref="AH21">_xll.BDP($A21, "BETA_ADJ_OVERRIDABLE", "BETA_OVERRIDE_START_DT", _xll.BADDPERIODS(_xll.BTODAY(),"NUMBEROFPERIODS=-1","PER=Y"), "BETA_OVERRIDE_END_DT", _xll.BTODAY(), AH$4, "BETA_OVERRIDE_PERIOD=D")</f>
        <v>9.9797049999999998E-2</v>
      </c>
      <c r="AI21" s="1" cm="1">
        <f t="array" ref="AI21">_xll.BDP($A21, "BETA_ADJ_OVERRIDABLE", "BETA_OVERRIDE_START_DT", _xll.BADDPERIODS(_xll.BTODAY(),"NUMBEROFPERIODS=-1","PER=Y"), "BETA_OVERRIDE_END_DT", _xll.BTODAY(), AI$4, "BETA_OVERRIDE_PERIOD=D")</f>
        <v>0.2220821</v>
      </c>
      <c r="AJ21" s="1" cm="1">
        <f t="array" ref="AJ21">_xll.BDP($A21, "BETA_ADJ_OVERRIDABLE", "BETA_OVERRIDE_START_DT", _xll.BADDPERIODS(_xll.BTODAY(),"NUMBEROFPERIODS=-1","PER=Y"), "BETA_OVERRIDE_END_DT", _xll.BTODAY(), AJ$4, "BETA_OVERRIDE_PERIOD=D")</f>
        <v>0.55488669999999995</v>
      </c>
      <c r="AK21" s="1" cm="1">
        <f t="array" ref="AK21">_xll.BDP($A21, "BETA_ADJ_OVERRIDABLE", "BETA_OVERRIDE_START_DT", _xll.BADDPERIODS(_xll.BTODAY(),"NUMBEROFPERIODS=-1","PER=Y"), "BETA_OVERRIDE_END_DT", _xll.BTODAY(), AK$4, "BETA_OVERRIDE_PERIOD=D")</f>
        <v>0.46974399999999999</v>
      </c>
      <c r="AL21" s="1" cm="1">
        <f t="array" ref="AL21">_xll.BDP($A21, "BETA_ADJ_OVERRIDABLE", "BETA_OVERRIDE_START_DT", _xll.BADDPERIODS(_xll.BTODAY(),"NUMBEROFPERIODS=-1","PER=Y"), "BETA_OVERRIDE_END_DT", _xll.BTODAY(), AL$4, "BETA_OVERRIDE_PERIOD=D")</f>
        <v>0.490898</v>
      </c>
      <c r="AM21" s="1" cm="1">
        <f t="array" ref="AM21">_xll.BDP($A21, "BETA_ADJ_OVERRIDABLE", "BETA_OVERRIDE_START_DT", _xll.BADDPERIODS(_xll.BTODAY(),"NUMBEROFPERIODS=-1","PER=Y"), "BETA_OVERRIDE_END_DT", _xll.BTODAY(), AM$4, "BETA_OVERRIDE_PERIOD=D")</f>
        <v>0.9956199</v>
      </c>
      <c r="AN21" s="1" cm="1">
        <f t="array" ref="AN21">_xll.BDP($A21, "BETA_ADJ_OVERRIDABLE", "BETA_OVERRIDE_START_DT", _xll.BADDPERIODS(_xll.BTODAY(),"NUMBEROFPERIODS=-1","PER=Y"), "BETA_OVERRIDE_END_DT", _xll.BTODAY(), AN$4, "BETA_OVERRIDE_PERIOD=D")</f>
        <v>1.069488</v>
      </c>
      <c r="AO21" s="1" cm="1">
        <f t="array" ref="AO21">_xll.BDP($A21, "BETA_ADJ_OVERRIDABLE", "BETA_OVERRIDE_START_DT", _xll.BADDPERIODS(_xll.BTODAY(),"NUMBEROFPERIODS=-1","PER=Y"), "BETA_OVERRIDE_END_DT", _xll.BTODAY(), AO$4, "BETA_OVERRIDE_PERIOD=D")</f>
        <v>1.1712389999999999</v>
      </c>
    </row>
    <row r="22" spans="1:41" x14ac:dyDescent="0.25">
      <c r="A22" t="s">
        <v>58</v>
      </c>
      <c r="B22" s="1" cm="1">
        <f t="array" ref="B22">_xll.BDP($A22, B$4)</f>
        <v>0.56369860000000005</v>
      </c>
      <c r="C22" s="1" cm="1">
        <f t="array" ref="C22">_xll.BDP($A22, C$4)</f>
        <v>22.128329999999998</v>
      </c>
      <c r="D22" s="1" cm="1">
        <f t="array" ref="D22">_xll.BDP($A22, "BETA_ADJ_OVERRIDABLE", "BETA_OVERRIDE_START_DT", _xll.BADDPERIODS(_xll.BTODAY(),"NUMBEROFPERIODS=-5","PER=Y"), "BETA_OVERRIDE_END_DT", _xll.BTODAY(), D$4, "BETA_OVERRIDE_PERIOD=M")</f>
        <v>1.016364</v>
      </c>
      <c r="E22" s="1" cm="1">
        <f t="array" ref="E22">_xll.BDP($A22, "BETA_ADJ_OVERRIDABLE", "BETA_OVERRIDE_START_DT", _xll.BADDPERIODS(_xll.BTODAY(),"NUMBEROFPERIODS=-3","PER=Y"), "BETA_OVERRIDE_END_DT", _xll.BTODAY(), E$4, "BETA_OVERRIDE_PERIOD=W")</f>
        <v>0.9601037</v>
      </c>
      <c r="F22" s="1" cm="1">
        <f t="array" ref="F22">_xll.BDP($A22, "BETA_ADJ_OVERRIDABLE", "BETA_OVERRIDE_START_DT", _xll.BADDPERIODS(_xll.BTODAY(),"NUMBEROFPERIODS=-1","PER=Y"), "BETA_OVERRIDE_END_DT", _xll.BTODAY(), F$4, "BETA_OVERRIDE_PERIOD=D")</f>
        <v>0.51822190000000001</v>
      </c>
      <c r="G22" s="1" cm="1">
        <f t="array" ref="G22">_xll.BDP($A22, "BETA_ADJ_OVERRIDABLE", "BETA_OVERRIDE_START_DT", _xll.BADDPERIODS(_xll.BTODAY(),"NUMBEROFPERIODS=-1","PER=Y"), "BETA_OVERRIDE_END_DT", _xll.BTODAY(), G$4, "BETA_OVERRIDE_PERIOD=D")</f>
        <v>0.50551849999999998</v>
      </c>
      <c r="H22" s="1" cm="1">
        <f t="array" ref="H22">_xll.BDP($A22, "BETA_ADJ_OVERRIDABLE", "BETA_OVERRIDE_START_DT", _xll.BADDPERIODS(_xll.BTODAY(),"NUMBEROFPERIODS=-1","PER=Y"), "BETA_OVERRIDE_END_DT", _xll.BTODAY(), H$4, "BETA_OVERRIDE_PERIOD=D")</f>
        <v>0.49252590000000002</v>
      </c>
      <c r="I22" s="1" cm="1">
        <f t="array" ref="I22">_xll.BDP($A22, "BETA_ADJ_OVERRIDABLE", "BETA_OVERRIDE_START_DT", _xll.BADDPERIODS(_xll.BTODAY(),"NUMBEROFPERIODS=-1","PER=Y"), "BETA_OVERRIDE_END_DT", _xll.BTODAY(), I$4, "BETA_OVERRIDE_PERIOD=D")</f>
        <v>0.482016</v>
      </c>
      <c r="J22" s="1" cm="1">
        <f t="array" ref="J22">_xll.BDP($A22, "BETA_ADJ_OVERRIDABLE", "BETA_OVERRIDE_START_DT", _xll.BADDPERIODS(_xll.BTODAY(),"NUMBEROFPERIODS=-1","PER=Y"), "BETA_OVERRIDE_END_DT", _xll.BTODAY(), J$4, "BETA_OVERRIDE_PERIOD=D")</f>
        <v>0.53363280000000002</v>
      </c>
      <c r="K22" s="1" cm="1">
        <f t="array" ref="K22">_xll.BDP($A22, "BETA_ADJ_OVERRIDABLE", "BETA_OVERRIDE_START_DT", _xll.BADDPERIODS(_xll.BTODAY(),"NUMBEROFPERIODS=-1","PER=Y"), "BETA_OVERRIDE_END_DT", _xll.BTODAY(), K$4, "BETA_OVERRIDE_PERIOD=D")</f>
        <v>0.47573090000000001</v>
      </c>
      <c r="L22" s="1" cm="1">
        <f t="array" ref="L22">_xll.BDP($A22, "BETA_ADJ_OVERRIDABLE", "BETA_OVERRIDE_START_DT", _xll.BADDPERIODS(_xll.BTODAY(),"NUMBEROFPERIODS=-1","PER=Y"), "BETA_OVERRIDE_END_DT", _xll.BTODAY(), L$4, "BETA_OVERRIDE_PERIOD=D")</f>
        <v>0.93788519999999997</v>
      </c>
      <c r="M22" s="1" cm="1">
        <f t="array" ref="M22">_xll.BDP($A22, "BETA_ADJ_OVERRIDABLE", "BETA_OVERRIDE_START_DT", _xll.BADDPERIODS(_xll.BTODAY(),"NUMBEROFPERIODS=-1","PER=Y"), "BETA_OVERRIDE_END_DT", _xll.BTODAY(), M$4, "BETA_OVERRIDE_PERIOD=D")</f>
        <v>0.81290890000000005</v>
      </c>
      <c r="N22" s="1" cm="1">
        <f t="array" ref="N22">_xll.BDP($A22, "BETA_ADJ_OVERRIDABLE", "BETA_OVERRIDE_START_DT", _xll.BADDPERIODS(_xll.BTODAY(),"NUMBEROFPERIODS=-1","PER=Y"), "BETA_OVERRIDE_END_DT", _xll.BTODAY(), N$4, "BETA_OVERRIDE_PERIOD=D")</f>
        <v>0.71391349999999998</v>
      </c>
      <c r="O22" s="1" cm="1">
        <f t="array" ref="O22">_xll.BDP($A22, "BETA_ADJ_OVERRIDABLE", "BETA_OVERRIDE_START_DT", _xll.BADDPERIODS(_xll.BTODAY(),"NUMBEROFPERIODS=-1","PER=Y"), "BETA_OVERRIDE_END_DT", _xll.BTODAY(), O$4, "BETA_OVERRIDE_PERIOD=D")</f>
        <v>0.3300285</v>
      </c>
      <c r="P22" s="1" cm="1">
        <f t="array" ref="P22">_xll.BDP($A22, "BETA_ADJ_OVERRIDABLE", "BETA_OVERRIDE_START_DT", _xll.BADDPERIODS(_xll.BTODAY(),"NUMBEROFPERIODS=-1","PER=Y"), "BETA_OVERRIDE_END_DT", _xll.BTODAY(), P$4, "BETA_OVERRIDE_PERIOD=D")</f>
        <v>0.29923319999999998</v>
      </c>
      <c r="Q22" s="1" cm="1">
        <f t="array" ref="Q22">_xll.BDP($A22, "BETA_ADJ_OVERRIDABLE", "BETA_OVERRIDE_START_DT", _xll.BADDPERIODS(_xll.BTODAY(),"NUMBEROFPERIODS=-1","PER=Y"), "BETA_OVERRIDE_END_DT", _xll.BTODAY(), Q$4, "BETA_OVERRIDE_PERIOD=D")</f>
        <v>0.33184010000000003</v>
      </c>
      <c r="R22" s="1" cm="1">
        <f t="array" ref="R22">_xll.BDP($A22, "BETA_ADJ_OVERRIDABLE", "BETA_OVERRIDE_START_DT", _xll.BADDPERIODS(_xll.BTODAY(),"NUMBEROFPERIODS=-1","PER=Y"), "BETA_OVERRIDE_END_DT", _xll.BTODAY(), R$4, "BETA_OVERRIDE_PERIOD=D")</f>
        <v>0.72930709999999999</v>
      </c>
      <c r="S22" s="1" cm="1">
        <f t="array" ref="S22">_xll.BDP($A22, "BETA_ADJ_OVERRIDABLE", "BETA_OVERRIDE_START_DT", _xll.BADDPERIODS(_xll.BTODAY(),"NUMBEROFPERIODS=-1","PER=Y"), "BETA_OVERRIDE_END_DT", _xll.BTODAY(), S$4, "BETA_OVERRIDE_PERIOD=D")</f>
        <v>2.593286</v>
      </c>
      <c r="T22" s="1" cm="1">
        <f t="array" ref="T22">_xll.BDP($A22, "BETA_ADJ_OVERRIDABLE", "BETA_OVERRIDE_START_DT", _xll.BADDPERIODS(_xll.BTODAY(),"NUMBEROFPERIODS=-1","PER=Y"), "BETA_OVERRIDE_END_DT", _xll.BTODAY(), T$4, "BETA_OVERRIDE_PERIOD=D")</f>
        <v>0.35848819999999998</v>
      </c>
      <c r="U22" s="1" cm="1">
        <f t="array" ref="U22">_xll.BDP($A22, "BETA_ADJ_OVERRIDABLE", "BETA_OVERRIDE_START_DT", _xll.BADDPERIODS(_xll.BTODAY(),"NUMBEROFPERIODS=-1","PER=Y"), "BETA_OVERRIDE_END_DT", _xll.BTODAY(), U$4, "BETA_OVERRIDE_PERIOD=D")</f>
        <v>1.6680219999999999</v>
      </c>
      <c r="V22" s="1" cm="1">
        <f t="array" ref="V22">_xll.BDP($A22, "BETA_ADJ_OVERRIDABLE", "BETA_OVERRIDE_START_DT", _xll.BADDPERIODS(_xll.BTODAY(),"NUMBEROFPERIODS=-1","PER=Y"), "BETA_OVERRIDE_END_DT", _xll.BTODAY(), V$4, "BETA_OVERRIDE_PERIOD=D")</f>
        <v>0.2282566</v>
      </c>
      <c r="W22" s="1" cm="1">
        <f t="array" ref="W22">_xll.BDP($A22, "BETA_ADJ_OVERRIDABLE", "BETA_OVERRIDE_START_DT", _xll.BADDPERIODS(_xll.BTODAY(),"NUMBEROFPERIODS=-1","PER=Y"), "BETA_OVERRIDE_END_DT", _xll.BTODAY(), W$4, "BETA_OVERRIDE_PERIOD=D")</f>
        <v>0.29923319999999998</v>
      </c>
      <c r="X22" s="1" cm="1">
        <f t="array" ref="X22">_xll.BDP($A22, "BETA_ADJ_OVERRIDABLE", "BETA_OVERRIDE_START_DT", _xll.BADDPERIODS(_xll.BTODAY(),"NUMBEROFPERIODS=-1","PER=Y"), "BETA_OVERRIDE_END_DT", _xll.BTODAY(), X$4, "BETA_OVERRIDE_PERIOD=D")</f>
        <v>0.32229020000000003</v>
      </c>
      <c r="Y22" s="1" cm="1">
        <f t="array" ref="Y22">_xll.BDP($A22, "BETA_ADJ_OVERRIDABLE", "BETA_OVERRIDE_START_DT", _xll.BADDPERIODS(_xll.BTODAY(),"NUMBEROFPERIODS=-1","PER=Y"), "BETA_OVERRIDE_END_DT", _xll.BTODAY(), Y$4, "BETA_OVERRIDE_PERIOD=D")</f>
        <v>0.3334647</v>
      </c>
      <c r="Z22" s="1" cm="1">
        <f t="array" ref="Z22">_xll.BDP($A22, "BETA_ADJ_OVERRIDABLE", "BETA_OVERRIDE_START_DT", _xll.BADDPERIODS(_xll.BTODAY(),"NUMBEROFPERIODS=-1","PER=Y"), "BETA_OVERRIDE_END_DT", _xll.BTODAY(), Z$4, "BETA_OVERRIDE_PERIOD=D")</f>
        <v>0.33418300000000001</v>
      </c>
      <c r="AA22" s="1" cm="1">
        <f t="array" ref="AA22">_xll.BDP($A22, "BETA_ADJ_OVERRIDABLE", "BETA_OVERRIDE_START_DT", _xll.BADDPERIODS(_xll.BTODAY(),"NUMBEROFPERIODS=-1","PER=Y"), "BETA_OVERRIDE_END_DT", _xll.BTODAY(), AA$4, "BETA_OVERRIDE_PERIOD=D")</f>
        <v>0.41540680000000002</v>
      </c>
      <c r="AB22" s="1" cm="1">
        <f t="array" ref="AB22">_xll.BDP($A22, "BETA_ADJ_OVERRIDABLE", "BETA_OVERRIDE_START_DT", _xll.BADDPERIODS(_xll.BTODAY(),"NUMBEROFPERIODS=-1","PER=Y"), "BETA_OVERRIDE_END_DT", _xll.BTODAY(), AB$4, "BETA_OVERRIDE_PERIOD=D")</f>
        <v>0.47741600000000001</v>
      </c>
      <c r="AC22" s="1" cm="1">
        <f t="array" ref="AC22">_xll.BDP($A22, "BETA_ADJ_OVERRIDABLE", "BETA_OVERRIDE_START_DT", _xll.BADDPERIODS(_xll.BTODAY(),"NUMBEROFPERIODS=-1","PER=Y"), "BETA_OVERRIDE_END_DT", _xll.BTODAY(), AC$4, "BETA_OVERRIDE_PERIOD=D")</f>
        <v>0.53578460000000006</v>
      </c>
      <c r="AD22" s="1" cm="1">
        <f t="array" ref="AD22">_xll.BDP($A22, "BETA_ADJ_OVERRIDABLE", "BETA_OVERRIDE_START_DT", _xll.BADDPERIODS(_xll.BTODAY(),"NUMBEROFPERIODS=-1","PER=Y"), "BETA_OVERRIDE_END_DT", _xll.BTODAY(), AD$4, "BETA_OVERRIDE_PERIOD=D")</f>
        <v>0.211588</v>
      </c>
      <c r="AE22" s="1" cm="1">
        <f t="array" ref="AE22">_xll.BDP($A22, "BETA_ADJ_OVERRIDABLE", "BETA_OVERRIDE_START_DT", _xll.BADDPERIODS(_xll.BTODAY(),"NUMBEROFPERIODS=-1","PER=Y"), "BETA_OVERRIDE_END_DT", _xll.BTODAY(), AE$4, "BETA_OVERRIDE_PERIOD=D")</f>
        <v>0.37040689999999998</v>
      </c>
      <c r="AF22" s="1" cm="1">
        <f t="array" ref="AF22">_xll.BDP($A22, "BETA_ADJ_OVERRIDABLE", "BETA_OVERRIDE_START_DT", _xll.BADDPERIODS(_xll.BTODAY(),"NUMBEROFPERIODS=-1","PER=Y"), "BETA_OVERRIDE_END_DT", _xll.BTODAY(), AF$4, "BETA_OVERRIDE_PERIOD=D")</f>
        <v>0.2974118</v>
      </c>
      <c r="AG22" s="1" cm="1">
        <f t="array" ref="AG22">_xll.BDP($A22, "BETA_ADJ_OVERRIDABLE", "BETA_OVERRIDE_START_DT", _xll.BADDPERIODS(_xll.BTODAY(),"NUMBEROFPERIODS=-1","PER=Y"), "BETA_OVERRIDE_END_DT", _xll.BTODAY(), AG$4, "BETA_OVERRIDE_PERIOD=D")</f>
        <v>0.74659390000000003</v>
      </c>
      <c r="AH22" s="1" cm="1">
        <f t="array" ref="AH22">_xll.BDP($A22, "BETA_ADJ_OVERRIDABLE", "BETA_OVERRIDE_START_DT", _xll.BADDPERIODS(_xll.BTODAY(),"NUMBEROFPERIODS=-1","PER=Y"), "BETA_OVERRIDE_END_DT", _xll.BTODAY(), AH$4, "BETA_OVERRIDE_PERIOD=D")</f>
        <v>-0.52119210000000005</v>
      </c>
      <c r="AI22" s="1" cm="1">
        <f t="array" ref="AI22">_xll.BDP($A22, "BETA_ADJ_OVERRIDABLE", "BETA_OVERRIDE_START_DT", _xll.BADDPERIODS(_xll.BTODAY(),"NUMBEROFPERIODS=-1","PER=Y"), "BETA_OVERRIDE_END_DT", _xll.BTODAY(), AI$4, "BETA_OVERRIDE_PERIOD=D")</f>
        <v>1.363324</v>
      </c>
      <c r="AJ22" s="1" cm="1">
        <f t="array" ref="AJ22">_xll.BDP($A22, "BETA_ADJ_OVERRIDABLE", "BETA_OVERRIDE_START_DT", _xll.BADDPERIODS(_xll.BTODAY(),"NUMBEROFPERIODS=-1","PER=Y"), "BETA_OVERRIDE_END_DT", _xll.BTODAY(), AJ$4, "BETA_OVERRIDE_PERIOD=D")</f>
        <v>0.36016979999999998</v>
      </c>
      <c r="AK22" s="1" cm="1">
        <f t="array" ref="AK22">_xll.BDP($A22, "BETA_ADJ_OVERRIDABLE", "BETA_OVERRIDE_START_DT", _xll.BADDPERIODS(_xll.BTODAY(),"NUMBEROFPERIODS=-1","PER=Y"), "BETA_OVERRIDE_END_DT", _xll.BTODAY(), AK$4, "BETA_OVERRIDE_PERIOD=D")</f>
        <v>0.36618800000000001</v>
      </c>
      <c r="AL22" s="1" cm="1">
        <f t="array" ref="AL22">_xll.BDP($A22, "BETA_ADJ_OVERRIDABLE", "BETA_OVERRIDE_START_DT", _xll.BADDPERIODS(_xll.BTODAY(),"NUMBEROFPERIODS=-1","PER=Y"), "BETA_OVERRIDE_END_DT", _xll.BTODAY(), AL$4, "BETA_OVERRIDE_PERIOD=D")</f>
        <v>0.38991239999999999</v>
      </c>
      <c r="AM22" s="1" cm="1">
        <f t="array" ref="AM22">_xll.BDP($A22, "BETA_ADJ_OVERRIDABLE", "BETA_OVERRIDE_START_DT", _xll.BADDPERIODS(_xll.BTODAY(),"NUMBEROFPERIODS=-1","PER=Y"), "BETA_OVERRIDE_END_DT", _xll.BTODAY(), AM$4, "BETA_OVERRIDE_PERIOD=D")</f>
        <v>0.44834439999999998</v>
      </c>
      <c r="AN22" s="1" cm="1">
        <f t="array" ref="AN22">_xll.BDP($A22, "BETA_ADJ_OVERRIDABLE", "BETA_OVERRIDE_START_DT", _xll.BADDPERIODS(_xll.BTODAY(),"NUMBEROFPERIODS=-1","PER=Y"), "BETA_OVERRIDE_END_DT", _xll.BTODAY(), AN$4, "BETA_OVERRIDE_PERIOD=D")</f>
        <v>0.6066878</v>
      </c>
      <c r="AO22" s="1" cm="1">
        <f t="array" ref="AO22">_xll.BDP($A22, "BETA_ADJ_OVERRIDABLE", "BETA_OVERRIDE_START_DT", _xll.BADDPERIODS(_xll.BTODAY(),"NUMBEROFPERIODS=-1","PER=Y"), "BETA_OVERRIDE_END_DT", _xll.BTODAY(), AO$4, "BETA_OVERRIDE_PERIOD=D")</f>
        <v>0.52966789999999997</v>
      </c>
    </row>
    <row r="23" spans="1:41" x14ac:dyDescent="0.25">
      <c r="A23" t="s">
        <v>59</v>
      </c>
      <c r="B23" s="1" cm="1">
        <f t="array" ref="B23">_xll.BDP($A23, B$4)</f>
        <v>0.74968009999999996</v>
      </c>
      <c r="C23" s="1" cm="1">
        <f t="array" ref="C23">_xll.BDP($A23, C$4)</f>
        <v>31.25515</v>
      </c>
      <c r="D23" s="1" cm="1">
        <f t="array" ref="D23">_xll.BDP($A23, "BETA_ADJ_OVERRIDABLE", "BETA_OVERRIDE_START_DT", _xll.BADDPERIODS(_xll.BTODAY(),"NUMBEROFPERIODS=-5","PER=Y"), "BETA_OVERRIDE_END_DT", _xll.BTODAY(), D$4, "BETA_OVERRIDE_PERIOD=M")</f>
        <v>1.097912</v>
      </c>
      <c r="E23" s="1" cm="1">
        <f t="array" ref="E23">_xll.BDP($A23, "BETA_ADJ_OVERRIDABLE", "BETA_OVERRIDE_START_DT", _xll.BADDPERIODS(_xll.BTODAY(),"NUMBEROFPERIODS=-3","PER=Y"), "BETA_OVERRIDE_END_DT", _xll.BTODAY(), E$4, "BETA_OVERRIDE_PERIOD=W")</f>
        <v>1.2918339999999999</v>
      </c>
      <c r="F23" s="1" cm="1">
        <f t="array" ref="F23">_xll.BDP($A23, "BETA_ADJ_OVERRIDABLE", "BETA_OVERRIDE_START_DT", _xll.BADDPERIODS(_xll.BTODAY(),"NUMBEROFPERIODS=-1","PER=Y"), "BETA_OVERRIDE_END_DT", _xll.BTODAY(), F$4, "BETA_OVERRIDE_PERIOD=D")</f>
        <v>1.20347</v>
      </c>
      <c r="G23" s="1" cm="1">
        <f t="array" ref="G23">_xll.BDP($A23, "BETA_ADJ_OVERRIDABLE", "BETA_OVERRIDE_START_DT", _xll.BADDPERIODS(_xll.BTODAY(),"NUMBEROFPERIODS=-1","PER=Y"), "BETA_OVERRIDE_END_DT", _xll.BTODAY(), G$4, "BETA_OVERRIDE_PERIOD=D")</f>
        <v>1.0779460000000001</v>
      </c>
      <c r="H23" s="1" cm="1">
        <f t="array" ref="H23">_xll.BDP($A23, "BETA_ADJ_OVERRIDABLE", "BETA_OVERRIDE_START_DT", _xll.BADDPERIODS(_xll.BTODAY(),"NUMBEROFPERIODS=-1","PER=Y"), "BETA_OVERRIDE_END_DT", _xll.BTODAY(), H$4, "BETA_OVERRIDE_PERIOD=D")</f>
        <v>0.9968669</v>
      </c>
      <c r="I23" s="1" cm="1">
        <f t="array" ref="I23">_xll.BDP($A23, "BETA_ADJ_OVERRIDABLE", "BETA_OVERRIDE_START_DT", _xll.BADDPERIODS(_xll.BTODAY(),"NUMBEROFPERIODS=-1","PER=Y"), "BETA_OVERRIDE_END_DT", _xll.BTODAY(), I$4, "BETA_OVERRIDE_PERIOD=D")</f>
        <v>1.031099</v>
      </c>
      <c r="J23" s="1" cm="1">
        <f t="array" ref="J23">_xll.BDP($A23, "BETA_ADJ_OVERRIDABLE", "BETA_OVERRIDE_START_DT", _xll.BADDPERIODS(_xll.BTODAY(),"NUMBEROFPERIODS=-1","PER=Y"), "BETA_OVERRIDE_END_DT", _xll.BTODAY(), J$4, "BETA_OVERRIDE_PERIOD=D")</f>
        <v>1.2252860000000001</v>
      </c>
      <c r="K23" s="1" cm="1">
        <f t="array" ref="K23">_xll.BDP($A23, "BETA_ADJ_OVERRIDABLE", "BETA_OVERRIDE_START_DT", _xll.BADDPERIODS(_xll.BTODAY(),"NUMBEROFPERIODS=-1","PER=Y"), "BETA_OVERRIDE_END_DT", _xll.BTODAY(), K$4, "BETA_OVERRIDE_PERIOD=D")</f>
        <v>1.0311360000000001</v>
      </c>
      <c r="L23" s="1" cm="1">
        <f t="array" ref="L23">_xll.BDP($A23, "BETA_ADJ_OVERRIDABLE", "BETA_OVERRIDE_START_DT", _xll.BADDPERIODS(_xll.BTODAY(),"NUMBEROFPERIODS=-1","PER=Y"), "BETA_OVERRIDE_END_DT", _xll.BTODAY(), L$4, "BETA_OVERRIDE_PERIOD=D")</f>
        <v>0.4641941</v>
      </c>
      <c r="M23" s="1" cm="1">
        <f t="array" ref="M23">_xll.BDP($A23, "BETA_ADJ_OVERRIDABLE", "BETA_OVERRIDE_START_DT", _xll.BADDPERIODS(_xll.BTODAY(),"NUMBEROFPERIODS=-1","PER=Y"), "BETA_OVERRIDE_END_DT", _xll.BTODAY(), M$4, "BETA_OVERRIDE_PERIOD=D")</f>
        <v>0.45422669999999998</v>
      </c>
      <c r="N23" s="1" cm="1">
        <f t="array" ref="N23">_xll.BDP($A23, "BETA_ADJ_OVERRIDABLE", "BETA_OVERRIDE_START_DT", _xll.BADDPERIODS(_xll.BTODAY(),"NUMBEROFPERIODS=-1","PER=Y"), "BETA_OVERRIDE_END_DT", _xll.BTODAY(), N$4, "BETA_OVERRIDE_PERIOD=D")</f>
        <v>1.396557</v>
      </c>
      <c r="O23" s="1" cm="1">
        <f t="array" ref="O23">_xll.BDP($A23, "BETA_ADJ_OVERRIDABLE", "BETA_OVERRIDE_START_DT", _xll.BADDPERIODS(_xll.BTODAY(),"NUMBEROFPERIODS=-1","PER=Y"), "BETA_OVERRIDE_END_DT", _xll.BTODAY(), O$4, "BETA_OVERRIDE_PERIOD=D")</f>
        <v>0.57250849999999998</v>
      </c>
      <c r="P23" s="1" cm="1">
        <f t="array" ref="P23">_xll.BDP($A23, "BETA_ADJ_OVERRIDABLE", "BETA_OVERRIDE_START_DT", _xll.BADDPERIODS(_xll.BTODAY(),"NUMBEROFPERIODS=-1","PER=Y"), "BETA_OVERRIDE_END_DT", _xll.BTODAY(), P$4, "BETA_OVERRIDE_PERIOD=D")</f>
        <v>0.37459419999999999</v>
      </c>
      <c r="Q23" s="1" cm="1">
        <f t="array" ref="Q23">_xll.BDP($A23, "BETA_ADJ_OVERRIDABLE", "BETA_OVERRIDE_START_DT", _xll.BADDPERIODS(_xll.BTODAY(),"NUMBEROFPERIODS=-1","PER=Y"), "BETA_OVERRIDE_END_DT", _xll.BTODAY(), Q$4, "BETA_OVERRIDE_PERIOD=D")</f>
        <v>9.7894010000000004E-2</v>
      </c>
      <c r="R23" s="1" cm="1">
        <f t="array" ref="R23">_xll.BDP($A23, "BETA_ADJ_OVERRIDABLE", "BETA_OVERRIDE_START_DT", _xll.BADDPERIODS(_xll.BTODAY(),"NUMBEROFPERIODS=-1","PER=Y"), "BETA_OVERRIDE_END_DT", _xll.BTODAY(), R$4, "BETA_OVERRIDE_PERIOD=D")</f>
        <v>0.89847220000000005</v>
      </c>
      <c r="S23" s="1" cm="1">
        <f t="array" ref="S23">_xll.BDP($A23, "BETA_ADJ_OVERRIDABLE", "BETA_OVERRIDE_START_DT", _xll.BADDPERIODS(_xll.BTODAY(),"NUMBEROFPERIODS=-1","PER=Y"), "BETA_OVERRIDE_END_DT", _xll.BTODAY(), S$4, "BETA_OVERRIDE_PERIOD=D")</f>
        <v>3.896277</v>
      </c>
      <c r="T23" s="1" cm="1">
        <f t="array" ref="T23">_xll.BDP($A23, "BETA_ADJ_OVERRIDABLE", "BETA_OVERRIDE_START_DT", _xll.BADDPERIODS(_xll.BTODAY(),"NUMBEROFPERIODS=-1","PER=Y"), "BETA_OVERRIDE_END_DT", _xll.BTODAY(), T$4, "BETA_OVERRIDE_PERIOD=D")</f>
        <v>7.9574969999999995E-2</v>
      </c>
      <c r="U23" s="1" cm="1">
        <f t="array" ref="U23">_xll.BDP($A23, "BETA_ADJ_OVERRIDABLE", "BETA_OVERRIDE_START_DT", _xll.BADDPERIODS(_xll.BTODAY(),"NUMBEROFPERIODS=-1","PER=Y"), "BETA_OVERRIDE_END_DT", _xll.BTODAY(), U$4, "BETA_OVERRIDE_PERIOD=D")</f>
        <v>1.0234430000000001</v>
      </c>
      <c r="V23" s="1" cm="1">
        <f t="array" ref="V23">_xll.BDP($A23, "BETA_ADJ_OVERRIDABLE", "BETA_OVERRIDE_START_DT", _xll.BADDPERIODS(_xll.BTODAY(),"NUMBEROFPERIODS=-1","PER=Y"), "BETA_OVERRIDE_END_DT", _xll.BTODAY(), V$4, "BETA_OVERRIDE_PERIOD=D")</f>
        <v>0.58531449999999996</v>
      </c>
      <c r="W23" s="1" cm="1">
        <f t="array" ref="W23">_xll.BDP($A23, "BETA_ADJ_OVERRIDABLE", "BETA_OVERRIDE_START_DT", _xll.BADDPERIODS(_xll.BTODAY(),"NUMBEROFPERIODS=-1","PER=Y"), "BETA_OVERRIDE_END_DT", _xll.BTODAY(), W$4, "BETA_OVERRIDE_PERIOD=D")</f>
        <v>0.37459419999999999</v>
      </c>
      <c r="X23" s="1" cm="1">
        <f t="array" ref="X23">_xll.BDP($A23, "BETA_ADJ_OVERRIDABLE", "BETA_OVERRIDE_START_DT", _xll.BADDPERIODS(_xll.BTODAY(),"NUMBEROFPERIODS=-1","PER=Y"), "BETA_OVERRIDE_END_DT", _xll.BTODAY(), X$4, "BETA_OVERRIDE_PERIOD=D")</f>
        <v>0.42634100000000003</v>
      </c>
      <c r="Y23" s="1" cm="1">
        <f t="array" ref="Y23">_xll.BDP($A23, "BETA_ADJ_OVERRIDABLE", "BETA_OVERRIDE_START_DT", _xll.BADDPERIODS(_xll.BTODAY(),"NUMBEROFPERIODS=-1","PER=Y"), "BETA_OVERRIDE_END_DT", _xll.BTODAY(), Y$4, "BETA_OVERRIDE_PERIOD=D")</f>
        <v>0.44265080000000001</v>
      </c>
      <c r="Z23" s="1" cm="1">
        <f t="array" ref="Z23">_xll.BDP($A23, "BETA_ADJ_OVERRIDABLE", "BETA_OVERRIDE_START_DT", _xll.BADDPERIODS(_xll.BTODAY(),"NUMBEROFPERIODS=-1","PER=Y"), "BETA_OVERRIDE_END_DT", _xll.BTODAY(), Z$4, "BETA_OVERRIDE_PERIOD=D")</f>
        <v>0.34935959999999999</v>
      </c>
      <c r="AA23" s="1" cm="1">
        <f t="array" ref="AA23">_xll.BDP($A23, "BETA_ADJ_OVERRIDABLE", "BETA_OVERRIDE_START_DT", _xll.BADDPERIODS(_xll.BTODAY(),"NUMBEROFPERIODS=-1","PER=Y"), "BETA_OVERRIDE_END_DT", _xll.BTODAY(), AA$4, "BETA_OVERRIDE_PERIOD=D")</f>
        <v>0.41132560000000001</v>
      </c>
      <c r="AB23" s="1" cm="1">
        <f t="array" ref="AB23">_xll.BDP($A23, "BETA_ADJ_OVERRIDABLE", "BETA_OVERRIDE_START_DT", _xll.BADDPERIODS(_xll.BTODAY(),"NUMBEROFPERIODS=-1","PER=Y"), "BETA_OVERRIDE_END_DT", _xll.BTODAY(), AB$4, "BETA_OVERRIDE_PERIOD=D")</f>
        <v>0.63912049999999998</v>
      </c>
      <c r="AC23" s="1" cm="1">
        <f t="array" ref="AC23">_xll.BDP($A23, "BETA_ADJ_OVERRIDABLE", "BETA_OVERRIDE_START_DT", _xll.BADDPERIODS(_xll.BTODAY(),"NUMBEROFPERIODS=-1","PER=Y"), "BETA_OVERRIDE_END_DT", _xll.BTODAY(), AC$4, "BETA_OVERRIDE_PERIOD=D")</f>
        <v>0.52882379999999996</v>
      </c>
      <c r="AD23" s="1" cm="1">
        <f t="array" ref="AD23">_xll.BDP($A23, "BETA_ADJ_OVERRIDABLE", "BETA_OVERRIDE_START_DT", _xll.BADDPERIODS(_xll.BTODAY(),"NUMBEROFPERIODS=-1","PER=Y"), "BETA_OVERRIDE_END_DT", _xll.BTODAY(), AD$4, "BETA_OVERRIDE_PERIOD=D")</f>
        <v>0.54784160000000004</v>
      </c>
      <c r="AE23" s="1" cm="1">
        <f t="array" ref="AE23">_xll.BDP($A23, "BETA_ADJ_OVERRIDABLE", "BETA_OVERRIDE_START_DT", _xll.BADDPERIODS(_xll.BTODAY(),"NUMBEROFPERIODS=-1","PER=Y"), "BETA_OVERRIDE_END_DT", _xll.BTODAY(), AE$4, "BETA_OVERRIDE_PERIOD=D")</f>
        <v>7.7082419999999999E-2</v>
      </c>
      <c r="AF23" s="1" cm="1">
        <f t="array" ref="AF23">_xll.BDP($A23, "BETA_ADJ_OVERRIDABLE", "BETA_OVERRIDE_START_DT", _xll.BADDPERIODS(_xll.BTODAY(),"NUMBEROFPERIODS=-1","PER=Y"), "BETA_OVERRIDE_END_DT", _xll.BTODAY(), AF$4, "BETA_OVERRIDE_PERIOD=D")</f>
        <v>0.80762940000000005</v>
      </c>
      <c r="AG23" s="1" cm="1">
        <f t="array" ref="AG23">_xll.BDP($A23, "BETA_ADJ_OVERRIDABLE", "BETA_OVERRIDE_START_DT", _xll.BADDPERIODS(_xll.BTODAY(),"NUMBEROFPERIODS=-1","PER=Y"), "BETA_OVERRIDE_END_DT", _xll.BTODAY(), AG$4, "BETA_OVERRIDE_PERIOD=D")</f>
        <v>0.52576460000000003</v>
      </c>
      <c r="AH23" s="1" cm="1">
        <f t="array" ref="AH23">_xll.BDP($A23, "BETA_ADJ_OVERRIDABLE", "BETA_OVERRIDE_START_DT", _xll.BADDPERIODS(_xll.BTODAY(),"NUMBEROFPERIODS=-1","PER=Y"), "BETA_OVERRIDE_END_DT", _xll.BTODAY(), AH$4, "BETA_OVERRIDE_PERIOD=D")</f>
        <v>0.1771104</v>
      </c>
      <c r="AI23" s="1" cm="1">
        <f t="array" ref="AI23">_xll.BDP($A23, "BETA_ADJ_OVERRIDABLE", "BETA_OVERRIDE_START_DT", _xll.BADDPERIODS(_xll.BTODAY(),"NUMBEROFPERIODS=-1","PER=Y"), "BETA_OVERRIDE_END_DT", _xll.BTODAY(), AI$4, "BETA_OVERRIDE_PERIOD=D")</f>
        <v>0.1851669</v>
      </c>
      <c r="AJ23" s="1" cm="1">
        <f t="array" ref="AJ23">_xll.BDP($A23, "BETA_ADJ_OVERRIDABLE", "BETA_OVERRIDE_START_DT", _xll.BADDPERIODS(_xll.BTODAY(),"NUMBEROFPERIODS=-1","PER=Y"), "BETA_OVERRIDE_END_DT", _xll.BTODAY(), AJ$4, "BETA_OVERRIDE_PERIOD=D")</f>
        <v>0.52667589999999997</v>
      </c>
      <c r="AK23" s="1" cm="1">
        <f t="array" ref="AK23">_xll.BDP($A23, "BETA_ADJ_OVERRIDABLE", "BETA_OVERRIDE_START_DT", _xll.BADDPERIODS(_xll.BTODAY(),"NUMBEROFPERIODS=-1","PER=Y"), "BETA_OVERRIDE_END_DT", _xll.BTODAY(), AK$4, "BETA_OVERRIDE_PERIOD=D")</f>
        <v>0.45048650000000001</v>
      </c>
      <c r="AL23" s="1" cm="1">
        <f t="array" ref="AL23">_xll.BDP($A23, "BETA_ADJ_OVERRIDABLE", "BETA_OVERRIDE_START_DT", _xll.BADDPERIODS(_xll.BTODAY(),"NUMBEROFPERIODS=-1","PER=Y"), "BETA_OVERRIDE_END_DT", _xll.BTODAY(), AL$4, "BETA_OVERRIDE_PERIOD=D")</f>
        <v>0.46936260000000002</v>
      </c>
      <c r="AM23" s="1" cm="1">
        <f t="array" ref="AM23">_xll.BDP($A23, "BETA_ADJ_OVERRIDABLE", "BETA_OVERRIDE_START_DT", _xll.BADDPERIODS(_xll.BTODAY(),"NUMBEROFPERIODS=-1","PER=Y"), "BETA_OVERRIDE_END_DT", _xll.BTODAY(), AM$4, "BETA_OVERRIDE_PERIOD=D")</f>
        <v>0.89897930000000004</v>
      </c>
      <c r="AN23" s="1" cm="1">
        <f t="array" ref="AN23">_xll.BDP($A23, "BETA_ADJ_OVERRIDABLE", "BETA_OVERRIDE_START_DT", _xll.BADDPERIODS(_xll.BTODAY(),"NUMBEROFPERIODS=-1","PER=Y"), "BETA_OVERRIDE_END_DT", _xll.BTODAY(), AN$4, "BETA_OVERRIDE_PERIOD=D")</f>
        <v>0.97276759999999995</v>
      </c>
      <c r="AO23" s="1" cm="1">
        <f t="array" ref="AO23">_xll.BDP($A23, "BETA_ADJ_OVERRIDABLE", "BETA_OVERRIDE_START_DT", _xll.BADDPERIODS(_xll.BTODAY(),"NUMBEROFPERIODS=-1","PER=Y"), "BETA_OVERRIDE_END_DT", _xll.BTODAY(), AO$4, "BETA_OVERRIDE_PERIOD=D")</f>
        <v>1.0354289999999999</v>
      </c>
    </row>
    <row r="24" spans="1:41" x14ac:dyDescent="0.25">
      <c r="A24" t="s">
        <v>60</v>
      </c>
      <c r="B24" s="1" cm="1">
        <f t="array" ref="B24">_xll.BDP($A24, B$4)</f>
        <v>0.60463219999999995</v>
      </c>
      <c r="C24" s="1" cm="1">
        <f t="array" ref="C24">_xll.BDP($A24, C$4)</f>
        <v>27.021629999999998</v>
      </c>
      <c r="D24" s="1" cm="1">
        <f t="array" ref="D24">_xll.BDP($A24, "BETA_ADJ_OVERRIDABLE", "BETA_OVERRIDE_START_DT", _xll.BADDPERIODS(_xll.BTODAY(),"NUMBEROFPERIODS=-5","PER=Y"), "BETA_OVERRIDE_END_DT", _xll.BTODAY(), D$4, "BETA_OVERRIDE_PERIOD=M")</f>
        <v>0.95704929999999999</v>
      </c>
      <c r="E24" s="1" cm="1">
        <f t="array" ref="E24">_xll.BDP($A24, "BETA_ADJ_OVERRIDABLE", "BETA_OVERRIDE_START_DT", _xll.BADDPERIODS(_xll.BTODAY(),"NUMBEROFPERIODS=-3","PER=Y"), "BETA_OVERRIDE_END_DT", _xll.BTODAY(), E$4, "BETA_OVERRIDE_PERIOD=W")</f>
        <v>0.9056997</v>
      </c>
      <c r="F24" s="1" cm="1">
        <f t="array" ref="F24">_xll.BDP($A24, "BETA_ADJ_OVERRIDABLE", "BETA_OVERRIDE_START_DT", _xll.BADDPERIODS(_xll.BTODAY(),"NUMBEROFPERIODS=-1","PER=Y"), "BETA_OVERRIDE_END_DT", _xll.BTODAY(), F$4, "BETA_OVERRIDE_PERIOD=D")</f>
        <v>0.76746150000000002</v>
      </c>
      <c r="G24" s="1" cm="1">
        <f t="array" ref="G24">_xll.BDP($A24, "BETA_ADJ_OVERRIDABLE", "BETA_OVERRIDE_START_DT", _xll.BADDPERIODS(_xll.BTODAY(),"NUMBEROFPERIODS=-1","PER=Y"), "BETA_OVERRIDE_END_DT", _xll.BTODAY(), G$4, "BETA_OVERRIDE_PERIOD=D")</f>
        <v>0.85196680000000002</v>
      </c>
      <c r="H24" s="1" cm="1">
        <f t="array" ref="H24">_xll.BDP($A24, "BETA_ADJ_OVERRIDABLE", "BETA_OVERRIDE_START_DT", _xll.BADDPERIODS(_xll.BTODAY(),"NUMBEROFPERIODS=-1","PER=Y"), "BETA_OVERRIDE_END_DT", _xll.BTODAY(), H$4, "BETA_OVERRIDE_PERIOD=D")</f>
        <v>0.77180740000000003</v>
      </c>
      <c r="I24" s="1" cm="1">
        <f t="array" ref="I24">_xll.BDP($A24, "BETA_ADJ_OVERRIDABLE", "BETA_OVERRIDE_START_DT", _xll.BADDPERIODS(_xll.BTODAY(),"NUMBEROFPERIODS=-1","PER=Y"), "BETA_OVERRIDE_END_DT", _xll.BTODAY(), I$4, "BETA_OVERRIDE_PERIOD=D")</f>
        <v>0.60478869999999996</v>
      </c>
      <c r="J24" s="1" cm="1">
        <f t="array" ref="J24">_xll.BDP($A24, "BETA_ADJ_OVERRIDABLE", "BETA_OVERRIDE_START_DT", _xll.BADDPERIODS(_xll.BTODAY(),"NUMBEROFPERIODS=-1","PER=Y"), "BETA_OVERRIDE_END_DT", _xll.BTODAY(), J$4, "BETA_OVERRIDE_PERIOD=D")</f>
        <v>1.005844</v>
      </c>
      <c r="K24" s="1" cm="1">
        <f t="array" ref="K24">_xll.BDP($A24, "BETA_ADJ_OVERRIDABLE", "BETA_OVERRIDE_START_DT", _xll.BADDPERIODS(_xll.BTODAY(),"NUMBEROFPERIODS=-1","PER=Y"), "BETA_OVERRIDE_END_DT", _xll.BTODAY(), K$4, "BETA_OVERRIDE_PERIOD=D")</f>
        <v>0.59118919999999997</v>
      </c>
      <c r="L24" s="1" cm="1">
        <f t="array" ref="L24">_xll.BDP($A24, "BETA_ADJ_OVERRIDABLE", "BETA_OVERRIDE_START_DT", _xll.BADDPERIODS(_xll.BTODAY(),"NUMBEROFPERIODS=-1","PER=Y"), "BETA_OVERRIDE_END_DT", _xll.BTODAY(), L$4, "BETA_OVERRIDE_PERIOD=D")</f>
        <v>0.52737560000000006</v>
      </c>
      <c r="M24" s="1" cm="1">
        <f t="array" ref="M24">_xll.BDP($A24, "BETA_ADJ_OVERRIDABLE", "BETA_OVERRIDE_START_DT", _xll.BADDPERIODS(_xll.BTODAY(),"NUMBEROFPERIODS=-1","PER=Y"), "BETA_OVERRIDE_END_DT", _xll.BTODAY(), M$4, "BETA_OVERRIDE_PERIOD=D")</f>
        <v>0.58139980000000002</v>
      </c>
      <c r="N24" s="1" cm="1">
        <f t="array" ref="N24">_xll.BDP($A24, "BETA_ADJ_OVERRIDABLE", "BETA_OVERRIDE_START_DT", _xll.BADDPERIODS(_xll.BTODAY(),"NUMBEROFPERIODS=-1","PER=Y"), "BETA_OVERRIDE_END_DT", _xll.BTODAY(), N$4, "BETA_OVERRIDE_PERIOD=D")</f>
        <v>0.89265479999999997</v>
      </c>
      <c r="O24" s="1" cm="1">
        <f t="array" ref="O24">_xll.BDP($A24, "BETA_ADJ_OVERRIDABLE", "BETA_OVERRIDE_START_DT", _xll.BADDPERIODS(_xll.BTODAY(),"NUMBEROFPERIODS=-1","PER=Y"), "BETA_OVERRIDE_END_DT", _xll.BTODAY(), O$4, "BETA_OVERRIDE_PERIOD=D")</f>
        <v>0.35957699999999998</v>
      </c>
      <c r="P24" s="1" cm="1">
        <f t="array" ref="P24">_xll.BDP($A24, "BETA_ADJ_OVERRIDABLE", "BETA_OVERRIDE_START_DT", _xll.BADDPERIODS(_xll.BTODAY(),"NUMBEROFPERIODS=-1","PER=Y"), "BETA_OVERRIDE_END_DT", _xll.BTODAY(), P$4, "BETA_OVERRIDE_PERIOD=D")</f>
        <v>0.16733999999999999</v>
      </c>
      <c r="Q24" s="1" cm="1">
        <f t="array" ref="Q24">_xll.BDP($A24, "BETA_ADJ_OVERRIDABLE", "BETA_OVERRIDE_START_DT", _xll.BADDPERIODS(_xll.BTODAY(),"NUMBEROFPERIODS=-1","PER=Y"), "BETA_OVERRIDE_END_DT", _xll.BTODAY(), Q$4, "BETA_OVERRIDE_PERIOD=D")</f>
        <v>1.031863</v>
      </c>
      <c r="R24" s="1" cm="1">
        <f t="array" ref="R24">_xll.BDP($A24, "BETA_ADJ_OVERRIDABLE", "BETA_OVERRIDE_START_DT", _xll.BADDPERIODS(_xll.BTODAY(),"NUMBEROFPERIODS=-1","PER=Y"), "BETA_OVERRIDE_END_DT", _xll.BTODAY(), R$4, "BETA_OVERRIDE_PERIOD=D")</f>
        <v>1.4252</v>
      </c>
      <c r="S24" s="1" cm="1">
        <f t="array" ref="S24">_xll.BDP($A24, "BETA_ADJ_OVERRIDABLE", "BETA_OVERRIDE_START_DT", _xll.BADDPERIODS(_xll.BTODAY(),"NUMBEROFPERIODS=-1","PER=Y"), "BETA_OVERRIDE_END_DT", _xll.BTODAY(), S$4, "BETA_OVERRIDE_PERIOD=D")</f>
        <v>2.9215650000000002</v>
      </c>
      <c r="T24" s="1" cm="1">
        <f t="array" ref="T24">_xll.BDP($A24, "BETA_ADJ_OVERRIDABLE", "BETA_OVERRIDE_START_DT", _xll.BADDPERIODS(_xll.BTODAY(),"NUMBEROFPERIODS=-1","PER=Y"), "BETA_OVERRIDE_END_DT", _xll.BTODAY(), T$4, "BETA_OVERRIDE_PERIOD=D")</f>
        <v>0.97242320000000004</v>
      </c>
      <c r="U24" s="1" cm="1">
        <f t="array" ref="U24">_xll.BDP($A24, "BETA_ADJ_OVERRIDABLE", "BETA_OVERRIDE_START_DT", _xll.BADDPERIODS(_xll.BTODAY(),"NUMBEROFPERIODS=-1","PER=Y"), "BETA_OVERRIDE_END_DT", _xll.BTODAY(), U$4, "BETA_OVERRIDE_PERIOD=D")</f>
        <v>1.214696</v>
      </c>
      <c r="V24" s="1" cm="1">
        <f t="array" ref="V24">_xll.BDP($A24, "BETA_ADJ_OVERRIDABLE", "BETA_OVERRIDE_START_DT", _xll.BADDPERIODS(_xll.BTODAY(),"NUMBEROFPERIODS=-1","PER=Y"), "BETA_OVERRIDE_END_DT", _xll.BTODAY(), V$4, "BETA_OVERRIDE_PERIOD=D")</f>
        <v>1.1386579999999999</v>
      </c>
      <c r="W24" s="1" cm="1">
        <f t="array" ref="W24">_xll.BDP($A24, "BETA_ADJ_OVERRIDABLE", "BETA_OVERRIDE_START_DT", _xll.BADDPERIODS(_xll.BTODAY(),"NUMBEROFPERIODS=-1","PER=Y"), "BETA_OVERRIDE_END_DT", _xll.BTODAY(), W$4, "BETA_OVERRIDE_PERIOD=D")</f>
        <v>0.16733999999999999</v>
      </c>
      <c r="X24" s="1" cm="1">
        <f t="array" ref="X24">_xll.BDP($A24, "BETA_ADJ_OVERRIDABLE", "BETA_OVERRIDE_START_DT", _xll.BADDPERIODS(_xll.BTODAY(),"NUMBEROFPERIODS=-1","PER=Y"), "BETA_OVERRIDE_END_DT", _xll.BTODAY(), X$4, "BETA_OVERRIDE_PERIOD=D")</f>
        <v>0.2967438</v>
      </c>
      <c r="Y24" s="1" cm="1">
        <f t="array" ref="Y24">_xll.BDP($A24, "BETA_ADJ_OVERRIDABLE", "BETA_OVERRIDE_START_DT", _xll.BADDPERIODS(_xll.BTODAY(),"NUMBEROFPERIODS=-1","PER=Y"), "BETA_OVERRIDE_END_DT", _xll.BTODAY(), Y$4, "BETA_OVERRIDE_PERIOD=D")</f>
        <v>0.28952470000000002</v>
      </c>
      <c r="Z24" s="1" cm="1">
        <f t="array" ref="Z24">_xll.BDP($A24, "BETA_ADJ_OVERRIDABLE", "BETA_OVERRIDE_START_DT", _xll.BADDPERIODS(_xll.BTODAY(),"NUMBEROFPERIODS=-1","PER=Y"), "BETA_OVERRIDE_END_DT", _xll.BTODAY(), Z$4, "BETA_OVERRIDE_PERIOD=D")</f>
        <v>0.2320825</v>
      </c>
      <c r="AA24" s="1" cm="1">
        <f t="array" ref="AA24">_xll.BDP($A24, "BETA_ADJ_OVERRIDABLE", "BETA_OVERRIDE_START_DT", _xll.BADDPERIODS(_xll.BTODAY(),"NUMBEROFPERIODS=-1","PER=Y"), "BETA_OVERRIDE_END_DT", _xll.BTODAY(), AA$4, "BETA_OVERRIDE_PERIOD=D")</f>
        <v>0.3896329</v>
      </c>
      <c r="AB24" s="1" cm="1">
        <f t="array" ref="AB24">_xll.BDP($A24, "BETA_ADJ_OVERRIDABLE", "BETA_OVERRIDE_START_DT", _xll.BADDPERIODS(_xll.BTODAY(),"NUMBEROFPERIODS=-1","PER=Y"), "BETA_OVERRIDE_END_DT", _xll.BTODAY(), AB$4, "BETA_OVERRIDE_PERIOD=D")</f>
        <v>0.33128669999999999</v>
      </c>
      <c r="AC24" s="1" cm="1">
        <f t="array" ref="AC24">_xll.BDP($A24, "BETA_ADJ_OVERRIDABLE", "BETA_OVERRIDE_START_DT", _xll.BADDPERIODS(_xll.BTODAY(),"NUMBEROFPERIODS=-1","PER=Y"), "BETA_OVERRIDE_END_DT", _xll.BTODAY(), AC$4, "BETA_OVERRIDE_PERIOD=D")</f>
        <v>0.36900899999999998</v>
      </c>
      <c r="AD24" s="1" cm="1">
        <f t="array" ref="AD24">_xll.BDP($A24, "BETA_ADJ_OVERRIDABLE", "BETA_OVERRIDE_START_DT", _xll.BADDPERIODS(_xll.BTODAY(),"NUMBEROFPERIODS=-1","PER=Y"), "BETA_OVERRIDE_END_DT", _xll.BTODAY(), AD$4, "BETA_OVERRIDE_PERIOD=D")</f>
        <v>0.13667779999999999</v>
      </c>
      <c r="AE24" s="1" cm="1">
        <f t="array" ref="AE24">_xll.BDP($A24, "BETA_ADJ_OVERRIDABLE", "BETA_OVERRIDE_START_DT", _xll.BADDPERIODS(_xll.BTODAY(),"NUMBEROFPERIODS=-1","PER=Y"), "BETA_OVERRIDE_END_DT", _xll.BTODAY(), AE$4, "BETA_OVERRIDE_PERIOD=D")</f>
        <v>0.45940439999999999</v>
      </c>
      <c r="AF24" s="1" cm="1">
        <f t="array" ref="AF24">_xll.BDP($A24, "BETA_ADJ_OVERRIDABLE", "BETA_OVERRIDE_START_DT", _xll.BADDPERIODS(_xll.BTODAY(),"NUMBEROFPERIODS=-1","PER=Y"), "BETA_OVERRIDE_END_DT", _xll.BTODAY(), AF$4, "BETA_OVERRIDE_PERIOD=D")</f>
        <v>0.33168379999999997</v>
      </c>
      <c r="AG24" s="1" cm="1">
        <f t="array" ref="AG24">_xll.BDP($A24, "BETA_ADJ_OVERRIDABLE", "BETA_OVERRIDE_START_DT", _xll.BADDPERIODS(_xll.BTODAY(),"NUMBEROFPERIODS=-1","PER=Y"), "BETA_OVERRIDE_END_DT", _xll.BTODAY(), AG$4, "BETA_OVERRIDE_PERIOD=D")</f>
        <v>0.67547259999999998</v>
      </c>
      <c r="AH24" s="1" cm="1">
        <f t="array" ref="AH24">_xll.BDP($A24, "BETA_ADJ_OVERRIDABLE", "BETA_OVERRIDE_START_DT", _xll.BADDPERIODS(_xll.BTODAY(),"NUMBEROFPERIODS=-1","PER=Y"), "BETA_OVERRIDE_END_DT", _xll.BTODAY(), AH$4, "BETA_OVERRIDE_PERIOD=D")</f>
        <v>-0.27488810000000002</v>
      </c>
      <c r="AI24" s="1" cm="1">
        <f t="array" ref="AI24">_xll.BDP($A24, "BETA_ADJ_OVERRIDABLE", "BETA_OVERRIDE_START_DT", _xll.BADDPERIODS(_xll.BTODAY(),"NUMBEROFPERIODS=-1","PER=Y"), "BETA_OVERRIDE_END_DT", _xll.BTODAY(), AI$4, "BETA_OVERRIDE_PERIOD=D")</f>
        <v>0.55827930000000003</v>
      </c>
      <c r="AJ24" s="1" cm="1">
        <f t="array" ref="AJ24">_xll.BDP($A24, "BETA_ADJ_OVERRIDABLE", "BETA_OVERRIDE_START_DT", _xll.BADDPERIODS(_xll.BTODAY(),"NUMBEROFPERIODS=-1","PER=Y"), "BETA_OVERRIDE_END_DT", _xll.BTODAY(), AJ$4, "BETA_OVERRIDE_PERIOD=D")</f>
        <v>0.4572137</v>
      </c>
      <c r="AK24" s="1" cm="1">
        <f t="array" ref="AK24">_xll.BDP($A24, "BETA_ADJ_OVERRIDABLE", "BETA_OVERRIDE_START_DT", _xll.BADDPERIODS(_xll.BTODAY(),"NUMBEROFPERIODS=-1","PER=Y"), "BETA_OVERRIDE_END_DT", _xll.BTODAY(), AK$4, "BETA_OVERRIDE_PERIOD=D")</f>
        <v>0.40966540000000001</v>
      </c>
      <c r="AL24" s="1" cm="1">
        <f t="array" ref="AL24">_xll.BDP($A24, "BETA_ADJ_OVERRIDABLE", "BETA_OVERRIDE_START_DT", _xll.BADDPERIODS(_xll.BTODAY(),"NUMBEROFPERIODS=-1","PER=Y"), "BETA_OVERRIDE_END_DT", _xll.BTODAY(), AL$4, "BETA_OVERRIDE_PERIOD=D")</f>
        <v>0.42149239999999999</v>
      </c>
      <c r="AM24" s="1" cm="1">
        <f t="array" ref="AM24">_xll.BDP($A24, "BETA_ADJ_OVERRIDABLE", "BETA_OVERRIDE_START_DT", _xll.BADDPERIODS(_xll.BTODAY(),"NUMBEROFPERIODS=-1","PER=Y"), "BETA_OVERRIDE_END_DT", _xll.BTODAY(), AM$4, "BETA_OVERRIDE_PERIOD=D")</f>
        <v>0.89543349999999999</v>
      </c>
      <c r="AN24" s="1" cm="1">
        <f t="array" ref="AN24">_xll.BDP($A24, "BETA_ADJ_OVERRIDABLE", "BETA_OVERRIDE_START_DT", _xll.BADDPERIODS(_xll.BTODAY(),"NUMBEROFPERIODS=-1","PER=Y"), "BETA_OVERRIDE_END_DT", _xll.BTODAY(), AN$4, "BETA_OVERRIDE_PERIOD=D")</f>
        <v>1.064378</v>
      </c>
      <c r="AO24" s="1" cm="1">
        <f t="array" ref="AO24">_xll.BDP($A24, "BETA_ADJ_OVERRIDABLE", "BETA_OVERRIDE_START_DT", _xll.BADDPERIODS(_xll.BTODAY(),"NUMBEROFPERIODS=-1","PER=Y"), "BETA_OVERRIDE_END_DT", _xll.BTODAY(), AO$4, "BETA_OVERRIDE_PERIOD=D")</f>
        <v>0.91383789999999998</v>
      </c>
    </row>
    <row r="25" spans="1:41" x14ac:dyDescent="0.25">
      <c r="A25" t="s">
        <v>61</v>
      </c>
      <c r="B25" s="1" cm="1">
        <f t="array" ref="B25">_xll.BDP($A25, B$4)</f>
        <v>0.7080111</v>
      </c>
      <c r="C25" s="1" cm="1">
        <f t="array" ref="C25">_xll.BDP($A25, C$4)</f>
        <v>36.781030000000001</v>
      </c>
      <c r="D25" s="1" cm="1">
        <f t="array" ref="D25">_xll.BDP($A25, "BETA_ADJ_OVERRIDABLE", "BETA_OVERRIDE_START_DT", _xll.BADDPERIODS(_xll.BTODAY(),"NUMBEROFPERIODS=-5","PER=Y"), "BETA_OVERRIDE_END_DT", _xll.BTODAY(), D$4, "BETA_OVERRIDE_PERIOD=M")</f>
        <v>1.1197760000000001</v>
      </c>
      <c r="E25" s="1" cm="1">
        <f t="array" ref="E25">_xll.BDP($A25, "BETA_ADJ_OVERRIDABLE", "BETA_OVERRIDE_START_DT", _xll.BADDPERIODS(_xll.BTODAY(),"NUMBEROFPERIODS=-3","PER=Y"), "BETA_OVERRIDE_END_DT", _xll.BTODAY(), E$4, "BETA_OVERRIDE_PERIOD=W")</f>
        <v>1.131767</v>
      </c>
      <c r="F25" s="1" cm="1">
        <f t="array" ref="F25">_xll.BDP($A25, "BETA_ADJ_OVERRIDABLE", "BETA_OVERRIDE_START_DT", _xll.BADDPERIODS(_xll.BTODAY(),"NUMBEROFPERIODS=-1","PER=Y"), "BETA_OVERRIDE_END_DT", _xll.BTODAY(), F$4, "BETA_OVERRIDE_PERIOD=D")</f>
        <v>1.312889</v>
      </c>
      <c r="G25" s="1" cm="1">
        <f t="array" ref="G25">_xll.BDP($A25, "BETA_ADJ_OVERRIDABLE", "BETA_OVERRIDE_START_DT", _xll.BADDPERIODS(_xll.BTODAY(),"NUMBEROFPERIODS=-1","PER=Y"), "BETA_OVERRIDE_END_DT", _xll.BTODAY(), G$4, "BETA_OVERRIDE_PERIOD=D")</f>
        <v>1.1488130000000001</v>
      </c>
      <c r="H25" s="1" cm="1">
        <f t="array" ref="H25">_xll.BDP($A25, "BETA_ADJ_OVERRIDABLE", "BETA_OVERRIDE_START_DT", _xll.BADDPERIODS(_xll.BTODAY(),"NUMBEROFPERIODS=-1","PER=Y"), "BETA_OVERRIDE_END_DT", _xll.BTODAY(), H$4, "BETA_OVERRIDE_PERIOD=D")</f>
        <v>1.063248</v>
      </c>
      <c r="I25" s="1" cm="1">
        <f t="array" ref="I25">_xll.BDP($A25, "BETA_ADJ_OVERRIDABLE", "BETA_OVERRIDE_START_DT", _xll.BADDPERIODS(_xll.BTODAY(),"NUMBEROFPERIODS=-1","PER=Y"), "BETA_OVERRIDE_END_DT", _xll.BTODAY(), I$4, "BETA_OVERRIDE_PERIOD=D")</f>
        <v>1.1345339999999999</v>
      </c>
      <c r="J25" s="1" cm="1">
        <f t="array" ref="J25">_xll.BDP($A25, "BETA_ADJ_OVERRIDABLE", "BETA_OVERRIDE_START_DT", _xll.BADDPERIODS(_xll.BTODAY(),"NUMBEROFPERIODS=-1","PER=Y"), "BETA_OVERRIDE_END_DT", _xll.BTODAY(), J$4, "BETA_OVERRIDE_PERIOD=D")</f>
        <v>1.2707029999999999</v>
      </c>
      <c r="K25" s="1" cm="1">
        <f t="array" ref="K25">_xll.BDP($A25, "BETA_ADJ_OVERRIDABLE", "BETA_OVERRIDE_START_DT", _xll.BADDPERIODS(_xll.BTODAY(),"NUMBEROFPERIODS=-1","PER=Y"), "BETA_OVERRIDE_END_DT", _xll.BTODAY(), K$4, "BETA_OVERRIDE_PERIOD=D")</f>
        <v>1.135769</v>
      </c>
      <c r="L25" s="1" cm="1">
        <f t="array" ref="L25">_xll.BDP($A25, "BETA_ADJ_OVERRIDABLE", "BETA_OVERRIDE_START_DT", _xll.BADDPERIODS(_xll.BTODAY(),"NUMBEROFPERIODS=-1","PER=Y"), "BETA_OVERRIDE_END_DT", _xll.BTODAY(), L$4, "BETA_OVERRIDE_PERIOD=D")</f>
        <v>0.44139919999999999</v>
      </c>
      <c r="M25" s="1" cm="1">
        <f t="array" ref="M25">_xll.BDP($A25, "BETA_ADJ_OVERRIDABLE", "BETA_OVERRIDE_START_DT", _xll.BADDPERIODS(_xll.BTODAY(),"NUMBEROFPERIODS=-1","PER=Y"), "BETA_OVERRIDE_END_DT", _xll.BTODAY(), M$4, "BETA_OVERRIDE_PERIOD=D")</f>
        <v>0.46686169999999999</v>
      </c>
      <c r="N25" s="1" cm="1">
        <f t="array" ref="N25">_xll.BDP($A25, "BETA_ADJ_OVERRIDABLE", "BETA_OVERRIDE_START_DT", _xll.BADDPERIODS(_xll.BTODAY(),"NUMBEROFPERIODS=-1","PER=Y"), "BETA_OVERRIDE_END_DT", _xll.BTODAY(), N$4, "BETA_OVERRIDE_PERIOD=D")</f>
        <v>1.5093220000000001</v>
      </c>
      <c r="O25" s="1" cm="1">
        <f t="array" ref="O25">_xll.BDP($A25, "BETA_ADJ_OVERRIDABLE", "BETA_OVERRIDE_START_DT", _xll.BADDPERIODS(_xll.BTODAY(),"NUMBEROFPERIODS=-1","PER=Y"), "BETA_OVERRIDE_END_DT", _xll.BTODAY(), O$4, "BETA_OVERRIDE_PERIOD=D")</f>
        <v>0.6665259</v>
      </c>
      <c r="P25" s="1" cm="1">
        <f t="array" ref="P25">_xll.BDP($A25, "BETA_ADJ_OVERRIDABLE", "BETA_OVERRIDE_START_DT", _xll.BADDPERIODS(_xll.BTODAY(),"NUMBEROFPERIODS=-1","PER=Y"), "BETA_OVERRIDE_END_DT", _xll.BTODAY(), P$4, "BETA_OVERRIDE_PERIOD=D")</f>
        <v>0.45781889999999997</v>
      </c>
      <c r="Q25" s="1" cm="1">
        <f t="array" ref="Q25">_xll.BDP($A25, "BETA_ADJ_OVERRIDABLE", "BETA_OVERRIDE_START_DT", _xll.BADDPERIODS(_xll.BTODAY(),"NUMBEROFPERIODS=-1","PER=Y"), "BETA_OVERRIDE_END_DT", _xll.BTODAY(), Q$4, "BETA_OVERRIDE_PERIOD=D")</f>
        <v>-0.38138759999999999</v>
      </c>
      <c r="R25" s="1" cm="1">
        <f t="array" ref="R25">_xll.BDP($A25, "BETA_ADJ_OVERRIDABLE", "BETA_OVERRIDE_START_DT", _xll.BADDPERIODS(_xll.BTODAY(),"NUMBEROFPERIODS=-1","PER=Y"), "BETA_OVERRIDE_END_DT", _xll.BTODAY(), R$4, "BETA_OVERRIDE_PERIOD=D")</f>
        <v>0.57079440000000004</v>
      </c>
      <c r="S25" s="1" cm="1">
        <f t="array" ref="S25">_xll.BDP($A25, "BETA_ADJ_OVERRIDABLE", "BETA_OVERRIDE_START_DT", _xll.BADDPERIODS(_xll.BTODAY(),"NUMBEROFPERIODS=-1","PER=Y"), "BETA_OVERRIDE_END_DT", _xll.BTODAY(), S$4, "BETA_OVERRIDE_PERIOD=D")</f>
        <v>4.2005990000000004</v>
      </c>
      <c r="T25" s="1" cm="1">
        <f t="array" ref="T25">_xll.BDP($A25, "BETA_ADJ_OVERRIDABLE", "BETA_OVERRIDE_START_DT", _xll.BADDPERIODS(_xll.BTODAY(),"NUMBEROFPERIODS=-1","PER=Y"), "BETA_OVERRIDE_END_DT", _xll.BTODAY(), T$4, "BETA_OVERRIDE_PERIOD=D")</f>
        <v>-0.25707619999999998</v>
      </c>
      <c r="U25" s="1" cm="1">
        <f t="array" ref="U25">_xll.BDP($A25, "BETA_ADJ_OVERRIDABLE", "BETA_OVERRIDE_START_DT", _xll.BADDPERIODS(_xll.BTODAY(),"NUMBEROFPERIODS=-1","PER=Y"), "BETA_OVERRIDE_END_DT", _xll.BTODAY(), U$4, "BETA_OVERRIDE_PERIOD=D")</f>
        <v>1.062514</v>
      </c>
      <c r="V25" s="1" cm="1">
        <f t="array" ref="V25">_xll.BDP($A25, "BETA_ADJ_OVERRIDABLE", "BETA_OVERRIDE_START_DT", _xll.BADDPERIODS(_xll.BTODAY(),"NUMBEROFPERIODS=-1","PER=Y"), "BETA_OVERRIDE_END_DT", _xll.BTODAY(), V$4, "BETA_OVERRIDE_PERIOD=D")</f>
        <v>0.1573331</v>
      </c>
      <c r="W25" s="1" cm="1">
        <f t="array" ref="W25">_xll.BDP($A25, "BETA_ADJ_OVERRIDABLE", "BETA_OVERRIDE_START_DT", _xll.BADDPERIODS(_xll.BTODAY(),"NUMBEROFPERIODS=-1","PER=Y"), "BETA_OVERRIDE_END_DT", _xll.BTODAY(), W$4, "BETA_OVERRIDE_PERIOD=D")</f>
        <v>0.45781889999999997</v>
      </c>
      <c r="X25" s="1" cm="1">
        <f t="array" ref="X25">_xll.BDP($A25, "BETA_ADJ_OVERRIDABLE", "BETA_OVERRIDE_START_DT", _xll.BADDPERIODS(_xll.BTODAY(),"NUMBEROFPERIODS=-1","PER=Y"), "BETA_OVERRIDE_END_DT", _xll.BTODAY(), X$4, "BETA_OVERRIDE_PERIOD=D")</f>
        <v>0.47059240000000002</v>
      </c>
      <c r="Y25" s="1" cm="1">
        <f t="array" ref="Y25">_xll.BDP($A25, "BETA_ADJ_OVERRIDABLE", "BETA_OVERRIDE_START_DT", _xll.BADDPERIODS(_xll.BTODAY(),"NUMBEROFPERIODS=-1","PER=Y"), "BETA_OVERRIDE_END_DT", _xll.BTODAY(), Y$4, "BETA_OVERRIDE_PERIOD=D")</f>
        <v>0.47581329999999999</v>
      </c>
      <c r="Z25" s="1" cm="1">
        <f t="array" ref="Z25">_xll.BDP($A25, "BETA_ADJ_OVERRIDABLE", "BETA_OVERRIDE_START_DT", _xll.BADDPERIODS(_xll.BTODAY(),"NUMBEROFPERIODS=-1","PER=Y"), "BETA_OVERRIDE_END_DT", _xll.BTODAY(), Z$4, "BETA_OVERRIDE_PERIOD=D")</f>
        <v>0.3702878</v>
      </c>
      <c r="AA25" s="1" cm="1">
        <f t="array" ref="AA25">_xll.BDP($A25, "BETA_ADJ_OVERRIDABLE", "BETA_OVERRIDE_START_DT", _xll.BADDPERIODS(_xll.BTODAY(),"NUMBEROFPERIODS=-1","PER=Y"), "BETA_OVERRIDE_END_DT", _xll.BTODAY(), AA$4, "BETA_OVERRIDE_PERIOD=D")</f>
        <v>0.39668330000000002</v>
      </c>
      <c r="AB25" s="1" cm="1">
        <f t="array" ref="AB25">_xll.BDP($A25, "BETA_ADJ_OVERRIDABLE", "BETA_OVERRIDE_START_DT", _xll.BADDPERIODS(_xll.BTODAY(),"NUMBEROFPERIODS=-1","PER=Y"), "BETA_OVERRIDE_END_DT", _xll.BTODAY(), AB$4, "BETA_OVERRIDE_PERIOD=D")</f>
        <v>0.74359969999999997</v>
      </c>
      <c r="AC25" s="1" cm="1">
        <f t="array" ref="AC25">_xll.BDP($A25, "BETA_ADJ_OVERRIDABLE", "BETA_OVERRIDE_START_DT", _xll.BADDPERIODS(_xll.BTODAY(),"NUMBEROFPERIODS=-1","PER=Y"), "BETA_OVERRIDE_END_DT", _xll.BTODAY(), AC$4, "BETA_OVERRIDE_PERIOD=D")</f>
        <v>0.59831800000000002</v>
      </c>
      <c r="AD25" s="1" cm="1">
        <f t="array" ref="AD25">_xll.BDP($A25, "BETA_ADJ_OVERRIDABLE", "BETA_OVERRIDE_START_DT", _xll.BADDPERIODS(_xll.BTODAY(),"NUMBEROFPERIODS=-1","PER=Y"), "BETA_OVERRIDE_END_DT", _xll.BTODAY(), AD$4, "BETA_OVERRIDE_PERIOD=D")</f>
        <v>0.71380710000000003</v>
      </c>
      <c r="AE25" s="1" cm="1">
        <f t="array" ref="AE25">_xll.BDP($A25, "BETA_ADJ_OVERRIDABLE", "BETA_OVERRIDE_START_DT", _xll.BADDPERIODS(_xll.BTODAY(),"NUMBEROFPERIODS=-1","PER=Y"), "BETA_OVERRIDE_END_DT", _xll.BTODAY(), AE$4, "BETA_OVERRIDE_PERIOD=D")</f>
        <v>-9.8376870000000005E-2</v>
      </c>
      <c r="AF25" s="1" cm="1">
        <f t="array" ref="AF25">_xll.BDP($A25, "BETA_ADJ_OVERRIDABLE", "BETA_OVERRIDE_START_DT", _xll.BADDPERIODS(_xll.BTODAY(),"NUMBEROFPERIODS=-1","PER=Y"), "BETA_OVERRIDE_END_DT", _xll.BTODAY(), AF$4, "BETA_OVERRIDE_PERIOD=D")</f>
        <v>0.98363080000000003</v>
      </c>
      <c r="AG25" s="1" cm="1">
        <f t="array" ref="AG25">_xll.BDP($A25, "BETA_ADJ_OVERRIDABLE", "BETA_OVERRIDE_START_DT", _xll.BADDPERIODS(_xll.BTODAY(),"NUMBEROFPERIODS=-1","PER=Y"), "BETA_OVERRIDE_END_DT", _xll.BTODAY(), AG$4, "BETA_OVERRIDE_PERIOD=D")</f>
        <v>0.3416785</v>
      </c>
      <c r="AH25" s="1" cm="1">
        <f t="array" ref="AH25">_xll.BDP($A25, "BETA_ADJ_OVERRIDABLE", "BETA_OVERRIDE_START_DT", _xll.BADDPERIODS(_xll.BTODAY(),"NUMBEROFPERIODS=-1","PER=Y"), "BETA_OVERRIDE_END_DT", _xll.BTODAY(), AH$4, "BETA_OVERRIDE_PERIOD=D")</f>
        <v>-0.1231907</v>
      </c>
      <c r="AI25" s="1" cm="1">
        <f t="array" ref="AI25">_xll.BDP($A25, "BETA_ADJ_OVERRIDABLE", "BETA_OVERRIDE_START_DT", _xll.BADDPERIODS(_xll.BTODAY(),"NUMBEROFPERIODS=-1","PER=Y"), "BETA_OVERRIDE_END_DT", _xll.BTODAY(), AI$4, "BETA_OVERRIDE_PERIOD=D")</f>
        <v>0.35093619999999998</v>
      </c>
      <c r="AJ25" s="1" cm="1">
        <f t="array" ref="AJ25">_xll.BDP($A25, "BETA_ADJ_OVERRIDABLE", "BETA_OVERRIDE_START_DT", _xll.BADDPERIODS(_xll.BTODAY(),"NUMBEROFPERIODS=-1","PER=Y"), "BETA_OVERRIDE_END_DT", _xll.BTODAY(), AJ$4, "BETA_OVERRIDE_PERIOD=D")</f>
        <v>0.53449340000000001</v>
      </c>
      <c r="AK25" s="1" cm="1">
        <f t="array" ref="AK25">_xll.BDP($A25, "BETA_ADJ_OVERRIDABLE", "BETA_OVERRIDE_START_DT", _xll.BADDPERIODS(_xll.BTODAY(),"NUMBEROFPERIODS=-1","PER=Y"), "BETA_OVERRIDE_END_DT", _xll.BTODAY(), AK$4, "BETA_OVERRIDE_PERIOD=D")</f>
        <v>0.46149279999999998</v>
      </c>
      <c r="AL25" s="1" cm="1">
        <f t="array" ref="AL25">_xll.BDP($A25, "BETA_ADJ_OVERRIDABLE", "BETA_OVERRIDE_START_DT", _xll.BADDPERIODS(_xll.BTODAY(),"NUMBEROFPERIODS=-1","PER=Y"), "BETA_OVERRIDE_END_DT", _xll.BTODAY(), AL$4, "BETA_OVERRIDE_PERIOD=D")</f>
        <v>0.47304180000000001</v>
      </c>
      <c r="AM25" s="1" cm="1">
        <f t="array" ref="AM25">_xll.BDP($A25, "BETA_ADJ_OVERRIDABLE", "BETA_OVERRIDE_START_DT", _xll.BADDPERIODS(_xll.BTODAY(),"NUMBEROFPERIODS=-1","PER=Y"), "BETA_OVERRIDE_END_DT", _xll.BTODAY(), AM$4, "BETA_OVERRIDE_PERIOD=D")</f>
        <v>0.85769609999999996</v>
      </c>
      <c r="AN25" s="1" cm="1">
        <f t="array" ref="AN25">_xll.BDP($A25, "BETA_ADJ_OVERRIDABLE", "BETA_OVERRIDE_START_DT", _xll.BADDPERIODS(_xll.BTODAY(),"NUMBEROFPERIODS=-1","PER=Y"), "BETA_OVERRIDE_END_DT", _xll.BTODAY(), AN$4, "BETA_OVERRIDE_PERIOD=D")</f>
        <v>0.89466400000000001</v>
      </c>
      <c r="AO25" s="1" cm="1">
        <f t="array" ref="AO25">_xll.BDP($A25, "BETA_ADJ_OVERRIDABLE", "BETA_OVERRIDE_START_DT", _xll.BADDPERIODS(_xll.BTODAY(),"NUMBEROFPERIODS=-1","PER=Y"), "BETA_OVERRIDE_END_DT", _xll.BTODAY(), AO$4, "BETA_OVERRIDE_PERIOD=D")</f>
        <v>1.143869</v>
      </c>
    </row>
    <row r="26" spans="1:41" x14ac:dyDescent="0.25">
      <c r="A26" t="s">
        <v>62</v>
      </c>
      <c r="B26" s="1" cm="1">
        <f t="array" ref="B26">_xll.BDP($A26, B$4)</f>
        <v>0.72060400000000002</v>
      </c>
      <c r="C26" s="1" cm="1">
        <f t="array" ref="C26">_xll.BDP($A26, C$4)</f>
        <v>30.39406</v>
      </c>
      <c r="D26" s="1" cm="1">
        <f t="array" ref="D26">_xll.BDP($A26, "BETA_ADJ_OVERRIDABLE", "BETA_OVERRIDE_START_DT", _xll.BADDPERIODS(_xll.BTODAY(),"NUMBEROFPERIODS=-5","PER=Y"), "BETA_OVERRIDE_END_DT", _xll.BTODAY(), D$4, "BETA_OVERRIDE_PERIOD=M")</f>
        <v>0.99466779999999999</v>
      </c>
      <c r="E26" s="1" cm="1">
        <f t="array" ref="E26">_xll.BDP($A26, "BETA_ADJ_OVERRIDABLE", "BETA_OVERRIDE_START_DT", _xll.BADDPERIODS(_xll.BTODAY(),"NUMBEROFPERIODS=-3","PER=Y"), "BETA_OVERRIDE_END_DT", _xll.BTODAY(), E$4, "BETA_OVERRIDE_PERIOD=W")</f>
        <v>1.122325</v>
      </c>
      <c r="F26" s="1" cm="1">
        <f t="array" ref="F26">_xll.BDP($A26, "BETA_ADJ_OVERRIDABLE", "BETA_OVERRIDE_START_DT", _xll.BADDPERIODS(_xll.BTODAY(),"NUMBEROFPERIODS=-1","PER=Y"), "BETA_OVERRIDE_END_DT", _xll.BTODAY(), F$4, "BETA_OVERRIDE_PERIOD=D")</f>
        <v>1.113861</v>
      </c>
      <c r="G26" s="1" cm="1">
        <f t="array" ref="G26">_xll.BDP($A26, "BETA_ADJ_OVERRIDABLE", "BETA_OVERRIDE_START_DT", _xll.BADDPERIODS(_xll.BTODAY(),"NUMBEROFPERIODS=-1","PER=Y"), "BETA_OVERRIDE_END_DT", _xll.BTODAY(), G$4, "BETA_OVERRIDE_PERIOD=D")</f>
        <v>1.16666</v>
      </c>
      <c r="H26" s="1" cm="1">
        <f t="array" ref="H26">_xll.BDP($A26, "BETA_ADJ_OVERRIDABLE", "BETA_OVERRIDE_START_DT", _xll.BADDPERIODS(_xll.BTODAY(),"NUMBEROFPERIODS=-1","PER=Y"), "BETA_OVERRIDE_END_DT", _xll.BTODAY(), H$4, "BETA_OVERRIDE_PERIOD=D")</f>
        <v>1.1009990000000001</v>
      </c>
      <c r="I26" s="1" cm="1">
        <f t="array" ref="I26">_xll.BDP($A26, "BETA_ADJ_OVERRIDABLE", "BETA_OVERRIDE_START_DT", _xll.BADDPERIODS(_xll.BTODAY(),"NUMBEROFPERIODS=-1","PER=Y"), "BETA_OVERRIDE_END_DT", _xll.BTODAY(), I$4, "BETA_OVERRIDE_PERIOD=D")</f>
        <v>0.8822584</v>
      </c>
      <c r="J26" s="1" cm="1">
        <f t="array" ref="J26">_xll.BDP($A26, "BETA_ADJ_OVERRIDABLE", "BETA_OVERRIDE_START_DT", _xll.BADDPERIODS(_xll.BTODAY(),"NUMBEROFPERIODS=-1","PER=Y"), "BETA_OVERRIDE_END_DT", _xll.BTODAY(), J$4, "BETA_OVERRIDE_PERIOD=D")</f>
        <v>1.3696360000000001</v>
      </c>
      <c r="K26" s="1" cm="1">
        <f t="array" ref="K26">_xll.BDP($A26, "BETA_ADJ_OVERRIDABLE", "BETA_OVERRIDE_START_DT", _xll.BADDPERIODS(_xll.BTODAY(),"NUMBEROFPERIODS=-1","PER=Y"), "BETA_OVERRIDE_END_DT", _xll.BTODAY(), K$4, "BETA_OVERRIDE_PERIOD=D")</f>
        <v>0.86916150000000003</v>
      </c>
      <c r="L26" s="1" cm="1">
        <f t="array" ref="L26">_xll.BDP($A26, "BETA_ADJ_OVERRIDABLE", "BETA_OVERRIDE_START_DT", _xll.BADDPERIODS(_xll.BTODAY(),"NUMBEROFPERIODS=-1","PER=Y"), "BETA_OVERRIDE_END_DT", _xll.BTODAY(), L$4, "BETA_OVERRIDE_PERIOD=D")</f>
        <v>0.35403689999999999</v>
      </c>
      <c r="M26" s="1" cm="1">
        <f t="array" ref="M26">_xll.BDP($A26, "BETA_ADJ_OVERRIDABLE", "BETA_OVERRIDE_START_DT", _xll.BADDPERIODS(_xll.BTODAY(),"NUMBEROFPERIODS=-1","PER=Y"), "BETA_OVERRIDE_END_DT", _xll.BTODAY(), M$4, "BETA_OVERRIDE_PERIOD=D")</f>
        <v>0.35969050000000002</v>
      </c>
      <c r="N26" s="1" cm="1">
        <f t="array" ref="N26">_xll.BDP($A26, "BETA_ADJ_OVERRIDABLE", "BETA_OVERRIDE_START_DT", _xll.BADDPERIODS(_xll.BTODAY(),"NUMBEROFPERIODS=-1","PER=Y"), "BETA_OVERRIDE_END_DT", _xll.BTODAY(), N$4, "BETA_OVERRIDE_PERIOD=D")</f>
        <v>1.2560180000000001</v>
      </c>
      <c r="O26" s="1" cm="1">
        <f t="array" ref="O26">_xll.BDP($A26, "BETA_ADJ_OVERRIDABLE", "BETA_OVERRIDE_START_DT", _xll.BADDPERIODS(_xll.BTODAY(),"NUMBEROFPERIODS=-1","PER=Y"), "BETA_OVERRIDE_END_DT", _xll.BTODAY(), O$4, "BETA_OVERRIDE_PERIOD=D")</f>
        <v>0.57119410000000004</v>
      </c>
      <c r="P26" s="1" cm="1">
        <f t="array" ref="P26">_xll.BDP($A26, "BETA_ADJ_OVERRIDABLE", "BETA_OVERRIDE_START_DT", _xll.BADDPERIODS(_xll.BTODAY(),"NUMBEROFPERIODS=-1","PER=Y"), "BETA_OVERRIDE_END_DT", _xll.BTODAY(), P$4, "BETA_OVERRIDE_PERIOD=D")</f>
        <v>0.42483490000000002</v>
      </c>
      <c r="Q26" s="1" cm="1">
        <f t="array" ref="Q26">_xll.BDP($A26, "BETA_ADJ_OVERRIDABLE", "BETA_OVERRIDE_START_DT", _xll.BADDPERIODS(_xll.BTODAY(),"NUMBEROFPERIODS=-1","PER=Y"), "BETA_OVERRIDE_END_DT", _xll.BTODAY(), Q$4, "BETA_OVERRIDE_PERIOD=D")</f>
        <v>-2.4663399999999999E-2</v>
      </c>
      <c r="R26" s="1" cm="1">
        <f t="array" ref="R26">_xll.BDP($A26, "BETA_ADJ_OVERRIDABLE", "BETA_OVERRIDE_START_DT", _xll.BADDPERIODS(_xll.BTODAY(),"NUMBEROFPERIODS=-1","PER=Y"), "BETA_OVERRIDE_END_DT", _xll.BTODAY(), R$4, "BETA_OVERRIDE_PERIOD=D")</f>
        <v>0.77601419999999999</v>
      </c>
      <c r="S26" s="1" cm="1">
        <f t="array" ref="S26">_xll.BDP($A26, "BETA_ADJ_OVERRIDABLE", "BETA_OVERRIDE_START_DT", _xll.BADDPERIODS(_xll.BTODAY(),"NUMBEROFPERIODS=-1","PER=Y"), "BETA_OVERRIDE_END_DT", _xll.BTODAY(), S$4, "BETA_OVERRIDE_PERIOD=D")</f>
        <v>3.844484</v>
      </c>
      <c r="T26" s="1" cm="1">
        <f t="array" ref="T26">_xll.BDP($A26, "BETA_ADJ_OVERRIDABLE", "BETA_OVERRIDE_START_DT", _xll.BADDPERIODS(_xll.BTODAY(),"NUMBEROFPERIODS=-1","PER=Y"), "BETA_OVERRIDE_END_DT", _xll.BTODAY(), T$4, "BETA_OVERRIDE_PERIOD=D")</f>
        <v>-0.3839476</v>
      </c>
      <c r="U26" s="1" cm="1">
        <f t="array" ref="U26">_xll.BDP($A26, "BETA_ADJ_OVERRIDABLE", "BETA_OVERRIDE_START_DT", _xll.BADDPERIODS(_xll.BTODAY(),"NUMBEROFPERIODS=-1","PER=Y"), "BETA_OVERRIDE_END_DT", _xll.BTODAY(), U$4, "BETA_OVERRIDE_PERIOD=D")</f>
        <v>0.84234540000000002</v>
      </c>
      <c r="V26" s="1" cm="1">
        <f t="array" ref="V26">_xll.BDP($A26, "BETA_ADJ_OVERRIDABLE", "BETA_OVERRIDE_START_DT", _xll.BADDPERIODS(_xll.BTODAY(),"NUMBEROFPERIODS=-1","PER=Y"), "BETA_OVERRIDE_END_DT", _xll.BTODAY(), V$4, "BETA_OVERRIDE_PERIOD=D")</f>
        <v>0.77470309999999998</v>
      </c>
      <c r="W26" s="1" cm="1">
        <f t="array" ref="W26">_xll.BDP($A26, "BETA_ADJ_OVERRIDABLE", "BETA_OVERRIDE_START_DT", _xll.BADDPERIODS(_xll.BTODAY(),"NUMBEROFPERIODS=-1","PER=Y"), "BETA_OVERRIDE_END_DT", _xll.BTODAY(), W$4, "BETA_OVERRIDE_PERIOD=D")</f>
        <v>0.42483490000000002</v>
      </c>
      <c r="X26" s="1" cm="1">
        <f t="array" ref="X26">_xll.BDP($A26, "BETA_ADJ_OVERRIDABLE", "BETA_OVERRIDE_START_DT", _xll.BADDPERIODS(_xll.BTODAY(),"NUMBEROFPERIODS=-1","PER=Y"), "BETA_OVERRIDE_END_DT", _xll.BTODAY(), X$4, "BETA_OVERRIDE_PERIOD=D")</f>
        <v>0.41025830000000002</v>
      </c>
      <c r="Y26" s="1" cm="1">
        <f t="array" ref="Y26">_xll.BDP($A26, "BETA_ADJ_OVERRIDABLE", "BETA_OVERRIDE_START_DT", _xll.BADDPERIODS(_xll.BTODAY(),"NUMBEROFPERIODS=-1","PER=Y"), "BETA_OVERRIDE_END_DT", _xll.BTODAY(), Y$4, "BETA_OVERRIDE_PERIOD=D")</f>
        <v>0.41303960000000001</v>
      </c>
      <c r="Z26" s="1" cm="1">
        <f t="array" ref="Z26">_xll.BDP($A26, "BETA_ADJ_OVERRIDABLE", "BETA_OVERRIDE_START_DT", _xll.BADDPERIODS(_xll.BTODAY(),"NUMBEROFPERIODS=-1","PER=Y"), "BETA_OVERRIDE_END_DT", _xll.BTODAY(), Z$4, "BETA_OVERRIDE_PERIOD=D")</f>
        <v>0.1649852</v>
      </c>
      <c r="AA26" s="1" cm="1">
        <f t="array" ref="AA26">_xll.BDP($A26, "BETA_ADJ_OVERRIDABLE", "BETA_OVERRIDE_START_DT", _xll.BADDPERIODS(_xll.BTODAY(),"NUMBEROFPERIODS=-1","PER=Y"), "BETA_OVERRIDE_END_DT", _xll.BTODAY(), AA$4, "BETA_OVERRIDE_PERIOD=D")</f>
        <v>0.35152220000000001</v>
      </c>
      <c r="AB26" s="1" cm="1">
        <f t="array" ref="AB26">_xll.BDP($A26, "BETA_ADJ_OVERRIDABLE", "BETA_OVERRIDE_START_DT", _xll.BADDPERIODS(_xll.BTODAY(),"NUMBEROFPERIODS=-1","PER=Y"), "BETA_OVERRIDE_END_DT", _xll.BTODAY(), AB$4, "BETA_OVERRIDE_PERIOD=D")</f>
        <v>0.46347719999999998</v>
      </c>
      <c r="AC26" s="1" cm="1">
        <f t="array" ref="AC26">_xll.BDP($A26, "BETA_ADJ_OVERRIDABLE", "BETA_OVERRIDE_START_DT", _xll.BADDPERIODS(_xll.BTODAY(),"NUMBEROFPERIODS=-1","PER=Y"), "BETA_OVERRIDE_END_DT", _xll.BTODAY(), AC$4, "BETA_OVERRIDE_PERIOD=D")</f>
        <v>0.50008470000000005</v>
      </c>
      <c r="AD26" s="1" cm="1">
        <f t="array" ref="AD26">_xll.BDP($A26, "BETA_ADJ_OVERRIDABLE", "BETA_OVERRIDE_START_DT", _xll.BADDPERIODS(_xll.BTODAY(),"NUMBEROFPERIODS=-1","PER=Y"), "BETA_OVERRIDE_END_DT", _xll.BTODAY(), AD$4, "BETA_OVERRIDE_PERIOD=D")</f>
        <v>0.92820499999999995</v>
      </c>
      <c r="AE26" s="1" cm="1">
        <f t="array" ref="AE26">_xll.BDP($A26, "BETA_ADJ_OVERRIDABLE", "BETA_OVERRIDE_START_DT", _xll.BADDPERIODS(_xll.BTODAY(),"NUMBEROFPERIODS=-1","PER=Y"), "BETA_OVERRIDE_END_DT", _xll.BTODAY(), AE$4, "BETA_OVERRIDE_PERIOD=D")</f>
        <v>-0.24867439999999999</v>
      </c>
      <c r="AF26" s="1" cm="1">
        <f t="array" ref="AF26">_xll.BDP($A26, "BETA_ADJ_OVERRIDABLE", "BETA_OVERRIDE_START_DT", _xll.BADDPERIODS(_xll.BTODAY(),"NUMBEROFPERIODS=-1","PER=Y"), "BETA_OVERRIDE_END_DT", _xll.BTODAY(), AF$4, "BETA_OVERRIDE_PERIOD=D")</f>
        <v>0.97793030000000003</v>
      </c>
      <c r="AG26" s="1" cm="1">
        <f t="array" ref="AG26">_xll.BDP($A26, "BETA_ADJ_OVERRIDABLE", "BETA_OVERRIDE_START_DT", _xll.BADDPERIODS(_xll.BTODAY(),"NUMBEROFPERIODS=-1","PER=Y"), "BETA_OVERRIDE_END_DT", _xll.BTODAY(), AG$4, "BETA_OVERRIDE_PERIOD=D")</f>
        <v>0.1546285</v>
      </c>
      <c r="AH26" s="1" cm="1">
        <f t="array" ref="AH26">_xll.BDP($A26, "BETA_ADJ_OVERRIDABLE", "BETA_OVERRIDE_START_DT", _xll.BADDPERIODS(_xll.BTODAY(),"NUMBEROFPERIODS=-1","PER=Y"), "BETA_OVERRIDE_END_DT", _xll.BTODAY(), AH$4, "BETA_OVERRIDE_PERIOD=D")</f>
        <v>1.4994499999999999</v>
      </c>
      <c r="AI26" s="1" cm="1">
        <f t="array" ref="AI26">_xll.BDP($A26, "BETA_ADJ_OVERRIDABLE", "BETA_OVERRIDE_START_DT", _xll.BADDPERIODS(_xll.BTODAY(),"NUMBEROFPERIODS=-1","PER=Y"), "BETA_OVERRIDE_END_DT", _xll.BTODAY(), AI$4, "BETA_OVERRIDE_PERIOD=D")</f>
        <v>0.26107469999999999</v>
      </c>
      <c r="AJ26" s="1" cm="1">
        <f t="array" ref="AJ26">_xll.BDP($A26, "BETA_ADJ_OVERRIDABLE", "BETA_OVERRIDE_START_DT", _xll.BADDPERIODS(_xll.BTODAY(),"NUMBEROFPERIODS=-1","PER=Y"), "BETA_OVERRIDE_END_DT", _xll.BTODAY(), AJ$4, "BETA_OVERRIDE_PERIOD=D")</f>
        <v>0.56672040000000001</v>
      </c>
      <c r="AK26" s="1" cm="1">
        <f t="array" ref="AK26">_xll.BDP($A26, "BETA_ADJ_OVERRIDABLE", "BETA_OVERRIDE_START_DT", _xll.BADDPERIODS(_xll.BTODAY(),"NUMBEROFPERIODS=-1","PER=Y"), "BETA_OVERRIDE_END_DT", _xll.BTODAY(), AK$4, "BETA_OVERRIDE_PERIOD=D")</f>
        <v>0.4687732</v>
      </c>
      <c r="AL26" s="1" cm="1">
        <f t="array" ref="AL26">_xll.BDP($A26, "BETA_ADJ_OVERRIDABLE", "BETA_OVERRIDE_START_DT", _xll.BADDPERIODS(_xll.BTODAY(),"NUMBEROFPERIODS=-1","PER=Y"), "BETA_OVERRIDE_END_DT", _xll.BTODAY(), AL$4, "BETA_OVERRIDE_PERIOD=D")</f>
        <v>0.49712790000000001</v>
      </c>
      <c r="AM26" s="1" cm="1">
        <f t="array" ref="AM26">_xll.BDP($A26, "BETA_ADJ_OVERRIDABLE", "BETA_OVERRIDE_START_DT", _xll.BADDPERIODS(_xll.BTODAY(),"NUMBEROFPERIODS=-1","PER=Y"), "BETA_OVERRIDE_END_DT", _xll.BTODAY(), AM$4, "BETA_OVERRIDE_PERIOD=D")</f>
        <v>0.94820709999999997</v>
      </c>
      <c r="AN26" s="1" cm="1">
        <f t="array" ref="AN26">_xll.BDP($A26, "BETA_ADJ_OVERRIDABLE", "BETA_OVERRIDE_START_DT", _xll.BADDPERIODS(_xll.BTODAY(),"NUMBEROFPERIODS=-1","PER=Y"), "BETA_OVERRIDE_END_DT", _xll.BTODAY(), AN$4, "BETA_OVERRIDE_PERIOD=D")</f>
        <v>0.99887700000000001</v>
      </c>
      <c r="AO26" s="1" cm="1">
        <f t="array" ref="AO26">_xll.BDP($A26, "BETA_ADJ_OVERRIDABLE", "BETA_OVERRIDE_START_DT", _xll.BADDPERIODS(_xll.BTODAY(),"NUMBEROFPERIODS=-1","PER=Y"), "BETA_OVERRIDE_END_DT", _xll.BTODAY(), AO$4, "BETA_OVERRIDE_PERIOD=D")</f>
        <v>1.228313</v>
      </c>
    </row>
    <row r="27" spans="1:41" x14ac:dyDescent="0.25">
      <c r="A27" t="s">
        <v>63</v>
      </c>
      <c r="B27" s="1" cm="1">
        <f t="array" ref="B27">_xll.BDP($A27, B$4)</f>
        <v>0.1849267</v>
      </c>
      <c r="C27" s="1" cm="1">
        <f t="array" ref="C27">_xll.BDP($A27, C$4)</f>
        <v>39.92662</v>
      </c>
      <c r="D27" s="1" cm="1">
        <f t="array" ref="D27">_xll.BDP($A27, "BETA_ADJ_OVERRIDABLE", "BETA_OVERRIDE_START_DT", _xll.BADDPERIODS(_xll.BTODAY(),"NUMBEROFPERIODS=-5","PER=Y"), "BETA_OVERRIDE_END_DT", _xll.BTODAY(), D$4, "BETA_OVERRIDE_PERIOD=M")</f>
        <v>0.90813940000000004</v>
      </c>
      <c r="E27" s="1" cm="1">
        <f t="array" ref="E27">_xll.BDP($A27, "BETA_ADJ_OVERRIDABLE", "BETA_OVERRIDE_START_DT", _xll.BADDPERIODS(_xll.BTODAY(),"NUMBEROFPERIODS=-3","PER=Y"), "BETA_OVERRIDE_END_DT", _xll.BTODAY(), E$4, "BETA_OVERRIDE_PERIOD=W")</f>
        <v>0.6791275</v>
      </c>
      <c r="F27" s="1" cm="1">
        <f t="array" ref="F27">_xll.BDP($A27, "BETA_ADJ_OVERRIDABLE", "BETA_OVERRIDE_START_DT", _xll.BADDPERIODS(_xll.BTODAY(),"NUMBEROFPERIODS=-1","PER=Y"), "BETA_OVERRIDE_END_DT", _xll.BTODAY(), F$4, "BETA_OVERRIDE_PERIOD=D")</f>
        <v>0.29883549999999998</v>
      </c>
      <c r="G27" s="1" cm="1">
        <f t="array" ref="G27">_xll.BDP($A27, "BETA_ADJ_OVERRIDABLE", "BETA_OVERRIDE_START_DT", _xll.BADDPERIODS(_xll.BTODAY(),"NUMBEROFPERIODS=-1","PER=Y"), "BETA_OVERRIDE_END_DT", _xll.BTODAY(), G$4, "BETA_OVERRIDE_PERIOD=D")</f>
        <v>0.31798609999999999</v>
      </c>
      <c r="H27" s="1" cm="1">
        <f t="array" ref="H27">_xll.BDP($A27, "BETA_ADJ_OVERRIDABLE", "BETA_OVERRIDE_START_DT", _xll.BADDPERIODS(_xll.BTODAY(),"NUMBEROFPERIODS=-1","PER=Y"), "BETA_OVERRIDE_END_DT", _xll.BTODAY(), H$4, "BETA_OVERRIDE_PERIOD=D")</f>
        <v>0.32657209999999998</v>
      </c>
      <c r="I27" s="1" cm="1">
        <f t="array" ref="I27">_xll.BDP($A27, "BETA_ADJ_OVERRIDABLE", "BETA_OVERRIDE_START_DT", _xll.BADDPERIODS(_xll.BTODAY(),"NUMBEROFPERIODS=-1","PER=Y"), "BETA_OVERRIDE_END_DT", _xll.BTODAY(), I$4, "BETA_OVERRIDE_PERIOD=D")</f>
        <v>0.31063869999999999</v>
      </c>
      <c r="J27" s="1" cm="1">
        <f t="array" ref="J27">_xll.BDP($A27, "BETA_ADJ_OVERRIDABLE", "BETA_OVERRIDE_START_DT", _xll.BADDPERIODS(_xll.BTODAY(),"NUMBEROFPERIODS=-1","PER=Y"), "BETA_OVERRIDE_END_DT", _xll.BTODAY(), J$4, "BETA_OVERRIDE_PERIOD=D")</f>
        <v>0.29887950000000002</v>
      </c>
      <c r="K27" s="1" cm="1">
        <f t="array" ref="K27">_xll.BDP($A27, "BETA_ADJ_OVERRIDABLE", "BETA_OVERRIDE_START_DT", _xll.BADDPERIODS(_xll.BTODAY(),"NUMBEROFPERIODS=-1","PER=Y"), "BETA_OVERRIDE_END_DT", _xll.BTODAY(), K$4, "BETA_OVERRIDE_PERIOD=D")</f>
        <v>0.30608879999999999</v>
      </c>
      <c r="L27" s="1" cm="1">
        <f t="array" ref="L27">_xll.BDP($A27, "BETA_ADJ_OVERRIDABLE", "BETA_OVERRIDE_START_DT", _xll.BADDPERIODS(_xll.BTODAY(),"NUMBEROFPERIODS=-1","PER=Y"), "BETA_OVERRIDE_END_DT", _xll.BTODAY(), L$4, "BETA_OVERRIDE_PERIOD=D")</f>
        <v>1.081618</v>
      </c>
      <c r="M27" s="1" cm="1">
        <f t="array" ref="M27">_xll.BDP($A27, "BETA_ADJ_OVERRIDABLE", "BETA_OVERRIDE_START_DT", _xll.BADDPERIODS(_xll.BTODAY(),"NUMBEROFPERIODS=-1","PER=Y"), "BETA_OVERRIDE_END_DT", _xll.BTODAY(), M$4, "BETA_OVERRIDE_PERIOD=D")</f>
        <v>1.2114590000000001</v>
      </c>
      <c r="N27" s="1" cm="1">
        <f t="array" ref="N27">_xll.BDP($A27, "BETA_ADJ_OVERRIDABLE", "BETA_OVERRIDE_START_DT", _xll.BADDPERIODS(_xll.BTODAY(),"NUMBEROFPERIODS=-1","PER=Y"), "BETA_OVERRIDE_END_DT", _xll.BTODAY(), N$4, "BETA_OVERRIDE_PERIOD=D")</f>
        <v>0.51757419999999998</v>
      </c>
      <c r="O27" s="1" cm="1">
        <f t="array" ref="O27">_xll.BDP($A27, "BETA_ADJ_OVERRIDABLE", "BETA_OVERRIDE_START_DT", _xll.BADDPERIODS(_xll.BTODAY(),"NUMBEROFPERIODS=-1","PER=Y"), "BETA_OVERRIDE_END_DT", _xll.BTODAY(), O$4, "BETA_OVERRIDE_PERIOD=D")</f>
        <v>0.25579669999999999</v>
      </c>
      <c r="P27" s="1" cm="1">
        <f t="array" ref="P27">_xll.BDP($A27, "BETA_ADJ_OVERRIDABLE", "BETA_OVERRIDE_START_DT", _xll.BADDPERIODS(_xll.BTODAY(),"NUMBEROFPERIODS=-1","PER=Y"), "BETA_OVERRIDE_END_DT", _xll.BTODAY(), P$4, "BETA_OVERRIDE_PERIOD=D")</f>
        <v>0.20183599999999999</v>
      </c>
      <c r="Q27" s="1" cm="1">
        <f t="array" ref="Q27">_xll.BDP($A27, "BETA_ADJ_OVERRIDABLE", "BETA_OVERRIDE_START_DT", _xll.BADDPERIODS(_xll.BTODAY(),"NUMBEROFPERIODS=-1","PER=Y"), "BETA_OVERRIDE_END_DT", _xll.BTODAY(), Q$4, "BETA_OVERRIDE_PERIOD=D")</f>
        <v>0.88077910000000004</v>
      </c>
      <c r="R27" s="1" cm="1">
        <f t="array" ref="R27">_xll.BDP($A27, "BETA_ADJ_OVERRIDABLE", "BETA_OVERRIDE_START_DT", _xll.BADDPERIODS(_xll.BTODAY(),"NUMBEROFPERIODS=-1","PER=Y"), "BETA_OVERRIDE_END_DT", _xll.BTODAY(), R$4, "BETA_OVERRIDE_PERIOD=D")</f>
        <v>1.098716</v>
      </c>
      <c r="S27" s="1" cm="1">
        <f t="array" ref="S27">_xll.BDP($A27, "BETA_ADJ_OVERRIDABLE", "BETA_OVERRIDE_START_DT", _xll.BADDPERIODS(_xll.BTODAY(),"NUMBEROFPERIODS=-1","PER=Y"), "BETA_OVERRIDE_END_DT", _xll.BTODAY(), S$4, "BETA_OVERRIDE_PERIOD=D")</f>
        <v>2.3093340000000002</v>
      </c>
      <c r="T27" s="1" cm="1">
        <f t="array" ref="T27">_xll.BDP($A27, "BETA_ADJ_OVERRIDABLE", "BETA_OVERRIDE_START_DT", _xll.BADDPERIODS(_xll.BTODAY(),"NUMBEROFPERIODS=-1","PER=Y"), "BETA_OVERRIDE_END_DT", _xll.BTODAY(), T$4, "BETA_OVERRIDE_PERIOD=D")</f>
        <v>1.2980670000000001</v>
      </c>
      <c r="U27" s="1" cm="1">
        <f t="array" ref="U27">_xll.BDP($A27, "BETA_ADJ_OVERRIDABLE", "BETA_OVERRIDE_START_DT", _xll.BADDPERIODS(_xll.BTODAY(),"NUMBEROFPERIODS=-1","PER=Y"), "BETA_OVERRIDE_END_DT", _xll.BTODAY(), U$4, "BETA_OVERRIDE_PERIOD=D")</f>
        <v>2.0897380000000001</v>
      </c>
      <c r="V27" s="1" cm="1">
        <f t="array" ref="V27">_xll.BDP($A27, "BETA_ADJ_OVERRIDABLE", "BETA_OVERRIDE_START_DT", _xll.BADDPERIODS(_xll.BTODAY(),"NUMBEROFPERIODS=-1","PER=Y"), "BETA_OVERRIDE_END_DT", _xll.BTODAY(), V$4, "BETA_OVERRIDE_PERIOD=D")</f>
        <v>0.8962774</v>
      </c>
      <c r="W27" s="1" cm="1">
        <f t="array" ref="W27">_xll.BDP($A27, "BETA_ADJ_OVERRIDABLE", "BETA_OVERRIDE_START_DT", _xll.BADDPERIODS(_xll.BTODAY(),"NUMBEROFPERIODS=-1","PER=Y"), "BETA_OVERRIDE_END_DT", _xll.BTODAY(), W$4, "BETA_OVERRIDE_PERIOD=D")</f>
        <v>0.20183599999999999</v>
      </c>
      <c r="X27" s="1" cm="1">
        <f t="array" ref="X27">_xll.BDP($A27, "BETA_ADJ_OVERRIDABLE", "BETA_OVERRIDE_START_DT", _xll.BADDPERIODS(_xll.BTODAY(),"NUMBEROFPERIODS=-1","PER=Y"), "BETA_OVERRIDE_END_DT", _xll.BTODAY(), X$4, "BETA_OVERRIDE_PERIOD=D")</f>
        <v>0.26509880000000002</v>
      </c>
      <c r="Y27" s="1" cm="1">
        <f t="array" ref="Y27">_xll.BDP($A27, "BETA_ADJ_OVERRIDABLE", "BETA_OVERRIDE_START_DT", _xll.BADDPERIODS(_xll.BTODAY(),"NUMBEROFPERIODS=-1","PER=Y"), "BETA_OVERRIDE_END_DT", _xll.BTODAY(), Y$4, "BETA_OVERRIDE_PERIOD=D")</f>
        <v>0.26627909999999999</v>
      </c>
      <c r="Z27" s="1" cm="1">
        <f t="array" ref="Z27">_xll.BDP($A27, "BETA_ADJ_OVERRIDABLE", "BETA_OVERRIDE_START_DT", _xll.BADDPERIODS(_xll.BTODAY(),"NUMBEROFPERIODS=-1","PER=Y"), "BETA_OVERRIDE_END_DT", _xll.BTODAY(), Z$4, "BETA_OVERRIDE_PERIOD=D")</f>
        <v>0.38339119999999999</v>
      </c>
      <c r="AA27" s="1" cm="1">
        <f t="array" ref="AA27">_xll.BDP($A27, "BETA_ADJ_OVERRIDABLE", "BETA_OVERRIDE_START_DT", _xll.BADDPERIODS(_xll.BTODAY(),"NUMBEROFPERIODS=-1","PER=Y"), "BETA_OVERRIDE_END_DT", _xll.BTODAY(), AA$4, "BETA_OVERRIDE_PERIOD=D")</f>
        <v>0.39819500000000002</v>
      </c>
      <c r="AB27" s="1" cm="1">
        <f t="array" ref="AB27">_xll.BDP($A27, "BETA_ADJ_OVERRIDABLE", "BETA_OVERRIDE_START_DT", _xll.BADDPERIODS(_xll.BTODAY(),"NUMBEROFPERIODS=-1","PER=Y"), "BETA_OVERRIDE_END_DT", _xll.BTODAY(), AB$4, "BETA_OVERRIDE_PERIOD=D")</f>
        <v>0.39088820000000002</v>
      </c>
      <c r="AC27" s="1" cm="1">
        <f t="array" ref="AC27">_xll.BDP($A27, "BETA_ADJ_OVERRIDABLE", "BETA_OVERRIDE_START_DT", _xll.BADDPERIODS(_xll.BTODAY(),"NUMBEROFPERIODS=-1","PER=Y"), "BETA_OVERRIDE_END_DT", _xll.BTODAY(), AC$4, "BETA_OVERRIDE_PERIOD=D")</f>
        <v>0.47027370000000002</v>
      </c>
      <c r="AD27" s="1" cm="1">
        <f t="array" ref="AD27">_xll.BDP($A27, "BETA_ADJ_OVERRIDABLE", "BETA_OVERRIDE_START_DT", _xll.BADDPERIODS(_xll.BTODAY(),"NUMBEROFPERIODS=-1","PER=Y"), "BETA_OVERRIDE_END_DT", _xll.BTODAY(), AD$4, "BETA_OVERRIDE_PERIOD=D")</f>
        <v>-0.1773198</v>
      </c>
      <c r="AE27" s="1" cm="1">
        <f t="array" ref="AE27">_xll.BDP($A27, "BETA_ADJ_OVERRIDABLE", "BETA_OVERRIDE_START_DT", _xll.BADDPERIODS(_xll.BTODAY(),"NUMBEROFPERIODS=-1","PER=Y"), "BETA_OVERRIDE_END_DT", _xll.BTODAY(), AE$4, "BETA_OVERRIDE_PERIOD=D")</f>
        <v>0.65972869999999995</v>
      </c>
      <c r="AF27" s="1" cm="1">
        <f t="array" ref="AF27">_xll.BDP($A27, "BETA_ADJ_OVERRIDABLE", "BETA_OVERRIDE_START_DT", _xll.BADDPERIODS(_xll.BTODAY(),"NUMBEROFPERIODS=-1","PER=Y"), "BETA_OVERRIDE_END_DT", _xll.BTODAY(), AF$4, "BETA_OVERRIDE_PERIOD=D")</f>
        <v>-2.491629E-3</v>
      </c>
      <c r="AG27" s="1" cm="1">
        <f t="array" ref="AG27">_xll.BDP($A27, "BETA_ADJ_OVERRIDABLE", "BETA_OVERRIDE_START_DT", _xll.BADDPERIODS(_xll.BTODAY(),"NUMBEROFPERIODS=-1","PER=Y"), "BETA_OVERRIDE_END_DT", _xll.BTODAY(), AG$4, "BETA_OVERRIDE_PERIOD=D")</f>
        <v>0.9715551</v>
      </c>
      <c r="AH27" s="1" cm="1">
        <f t="array" ref="AH27">_xll.BDP($A27, "BETA_ADJ_OVERRIDABLE", "BETA_OVERRIDE_START_DT", _xll.BADDPERIODS(_xll.BTODAY(),"NUMBEROFPERIODS=-1","PER=Y"), "BETA_OVERRIDE_END_DT", _xll.BTODAY(), AH$4, "BETA_OVERRIDE_PERIOD=D")</f>
        <v>-0.36263440000000002</v>
      </c>
      <c r="AI27" s="1" cm="1">
        <f t="array" ref="AI27">_xll.BDP($A27, "BETA_ADJ_OVERRIDABLE", "BETA_OVERRIDE_START_DT", _xll.BADDPERIODS(_xll.BTODAY(),"NUMBEROFPERIODS=-1","PER=Y"), "BETA_OVERRIDE_END_DT", _xll.BTODAY(), AI$4, "BETA_OVERRIDE_PERIOD=D")</f>
        <v>1.797666</v>
      </c>
      <c r="AJ27" s="1" cm="1">
        <f t="array" ref="AJ27">_xll.BDP($A27, "BETA_ADJ_OVERRIDABLE", "BETA_OVERRIDE_START_DT", _xll.BADDPERIODS(_xll.BTODAY(),"NUMBEROFPERIODS=-1","PER=Y"), "BETA_OVERRIDE_END_DT", _xll.BTODAY(), AJ$4, "BETA_OVERRIDE_PERIOD=D")</f>
        <v>0.34403509999999998</v>
      </c>
      <c r="AK27" s="1" cm="1">
        <f t="array" ref="AK27">_xll.BDP($A27, "BETA_ADJ_OVERRIDABLE", "BETA_OVERRIDE_START_DT", _xll.BADDPERIODS(_xll.BTODAY(),"NUMBEROFPERIODS=-1","PER=Y"), "BETA_OVERRIDE_END_DT", _xll.BTODAY(), AK$4, "BETA_OVERRIDE_PERIOD=D")</f>
        <v>0.3516126</v>
      </c>
      <c r="AL27" s="1" cm="1">
        <f t="array" ref="AL27">_xll.BDP($A27, "BETA_ADJ_OVERRIDABLE", "BETA_OVERRIDE_START_DT", _xll.BADDPERIODS(_xll.BTODAY(),"NUMBEROFPERIODS=-1","PER=Y"), "BETA_OVERRIDE_END_DT", _xll.BTODAY(), AL$4, "BETA_OVERRIDE_PERIOD=D")</f>
        <v>0.39087939999999999</v>
      </c>
      <c r="AM27" s="1" cm="1">
        <f t="array" ref="AM27">_xll.BDP($A27, "BETA_ADJ_OVERRIDABLE", "BETA_OVERRIDE_START_DT", _xll.BADDPERIODS(_xll.BTODAY(),"NUMBEROFPERIODS=-1","PER=Y"), "BETA_OVERRIDE_END_DT", _xll.BTODAY(), AM$4, "BETA_OVERRIDE_PERIOD=D")</f>
        <v>0.42348390000000002</v>
      </c>
      <c r="AN27" s="1" cm="1">
        <f t="array" ref="AN27">_xll.BDP($A27, "BETA_ADJ_OVERRIDABLE", "BETA_OVERRIDE_START_DT", _xll.BADDPERIODS(_xll.BTODAY(),"NUMBEROFPERIODS=-1","PER=Y"), "BETA_OVERRIDE_END_DT", _xll.BTODAY(), AN$4, "BETA_OVERRIDE_PERIOD=D")</f>
        <v>0.71384860000000006</v>
      </c>
      <c r="AO27" s="1" cm="1">
        <f t="array" ref="AO27">_xll.BDP($A27, "BETA_ADJ_OVERRIDABLE", "BETA_OVERRIDE_START_DT", _xll.BADDPERIODS(_xll.BTODAY(),"NUMBEROFPERIODS=-1","PER=Y"), "BETA_OVERRIDE_END_DT", _xll.BTODAY(), AO$4, "BETA_OVERRIDE_PERIOD=D")</f>
        <v>0.3731505</v>
      </c>
    </row>
    <row r="28" spans="1:41" x14ac:dyDescent="0.25">
      <c r="A28" t="s">
        <v>64</v>
      </c>
      <c r="B28" s="1" cm="1">
        <f t="array" ref="B28">_xll.BDP($A28, B$4)</f>
        <v>0.79938759999999998</v>
      </c>
      <c r="C28" s="1" cm="1">
        <f t="array" ref="C28">_xll.BDP($A28, C$4)</f>
        <v>26.002700000000001</v>
      </c>
      <c r="D28" s="1" cm="1">
        <f t="array" ref="D28">_xll.BDP($A28, "BETA_ADJ_OVERRIDABLE", "BETA_OVERRIDE_START_DT", _xll.BADDPERIODS(_xll.BTODAY(),"NUMBEROFPERIODS=-5","PER=Y"), "BETA_OVERRIDE_END_DT", _xll.BTODAY(), D$4, "BETA_OVERRIDE_PERIOD=M")</f>
        <v>1.100222</v>
      </c>
      <c r="E28" s="1" cm="1">
        <f t="array" ref="E28">_xll.BDP($A28, "BETA_ADJ_OVERRIDABLE", "BETA_OVERRIDE_START_DT", _xll.BADDPERIODS(_xll.BTODAY(),"NUMBEROFPERIODS=-3","PER=Y"), "BETA_OVERRIDE_END_DT", _xll.BTODAY(), E$4, "BETA_OVERRIDE_PERIOD=W")</f>
        <v>1.0581929999999999</v>
      </c>
      <c r="F28" s="1" cm="1">
        <f t="array" ref="F28">_xll.BDP($A28, "BETA_ADJ_OVERRIDABLE", "BETA_OVERRIDE_START_DT", _xll.BADDPERIODS(_xll.BTODAY(),"NUMBEROFPERIODS=-1","PER=Y"), "BETA_OVERRIDE_END_DT", _xll.BTODAY(), F$4, "BETA_OVERRIDE_PERIOD=D")</f>
        <v>1.0549630000000001</v>
      </c>
      <c r="G28" s="1" cm="1">
        <f t="array" ref="G28">_xll.BDP($A28, "BETA_ADJ_OVERRIDABLE", "BETA_OVERRIDE_START_DT", _xll.BADDPERIODS(_xll.BTODAY(),"NUMBEROFPERIODS=-1","PER=Y"), "BETA_OVERRIDE_END_DT", _xll.BTODAY(), G$4, "BETA_OVERRIDE_PERIOD=D")</f>
        <v>1.0566260000000001</v>
      </c>
      <c r="H28" s="1" cm="1">
        <f t="array" ref="H28">_xll.BDP($A28, "BETA_ADJ_OVERRIDABLE", "BETA_OVERRIDE_START_DT", _xll.BADDPERIODS(_xll.BTODAY(),"NUMBEROFPERIODS=-1","PER=Y"), "BETA_OVERRIDE_END_DT", _xll.BTODAY(), H$4, "BETA_OVERRIDE_PERIOD=D")</f>
        <v>0.98357170000000005</v>
      </c>
      <c r="I28" s="1" cm="1">
        <f t="array" ref="I28">_xll.BDP($A28, "BETA_ADJ_OVERRIDABLE", "BETA_OVERRIDE_START_DT", _xll.BADDPERIODS(_xll.BTODAY(),"NUMBEROFPERIODS=-1","PER=Y"), "BETA_OVERRIDE_END_DT", _xll.BTODAY(), I$4, "BETA_OVERRIDE_PERIOD=D")</f>
        <v>0.83807089999999995</v>
      </c>
      <c r="J28" s="1" cm="1">
        <f t="array" ref="J28">_xll.BDP($A28, "BETA_ADJ_OVERRIDABLE", "BETA_OVERRIDE_START_DT", _xll.BADDPERIODS(_xll.BTODAY(),"NUMBEROFPERIODS=-1","PER=Y"), "BETA_OVERRIDE_END_DT", _xll.BTODAY(), J$4, "BETA_OVERRIDE_PERIOD=D")</f>
        <v>1.2790589999999999</v>
      </c>
      <c r="K28" s="1" cm="1">
        <f t="array" ref="K28">_xll.BDP($A28, "BETA_ADJ_OVERRIDABLE", "BETA_OVERRIDE_START_DT", _xll.BADDPERIODS(_xll.BTODAY(),"NUMBEROFPERIODS=-1","PER=Y"), "BETA_OVERRIDE_END_DT", _xll.BTODAY(), K$4, "BETA_OVERRIDE_PERIOD=D")</f>
        <v>0.83001190000000002</v>
      </c>
      <c r="L28" s="1" cm="1">
        <f t="array" ref="L28">_xll.BDP($A28, "BETA_ADJ_OVERRIDABLE", "BETA_OVERRIDE_START_DT", _xll.BADDPERIODS(_xll.BTODAY(),"NUMBEROFPERIODS=-1","PER=Y"), "BETA_OVERRIDE_END_DT", _xll.BTODAY(), L$4, "BETA_OVERRIDE_PERIOD=D")</f>
        <v>0.41882360000000002</v>
      </c>
      <c r="M28" s="1" cm="1">
        <f t="array" ref="M28">_xll.BDP($A28, "BETA_ADJ_OVERRIDABLE", "BETA_OVERRIDE_START_DT", _xll.BADDPERIODS(_xll.BTODAY(),"NUMBEROFPERIODS=-1","PER=Y"), "BETA_OVERRIDE_END_DT", _xll.BTODAY(), M$4, "BETA_OVERRIDE_PERIOD=D")</f>
        <v>0.39830280000000001</v>
      </c>
      <c r="N28" s="1" cm="1">
        <f t="array" ref="N28">_xll.BDP($A28, "BETA_ADJ_OVERRIDABLE", "BETA_OVERRIDE_START_DT", _xll.BADDPERIODS(_xll.BTODAY(),"NUMBEROFPERIODS=-1","PER=Y"), "BETA_OVERRIDE_END_DT", _xll.BTODAY(), N$4, "BETA_OVERRIDE_PERIOD=D")</f>
        <v>1.206458</v>
      </c>
      <c r="O28" s="1" cm="1">
        <f t="array" ref="O28">_xll.BDP($A28, "BETA_ADJ_OVERRIDABLE", "BETA_OVERRIDE_START_DT", _xll.BADDPERIODS(_xll.BTODAY(),"NUMBEROFPERIODS=-1","PER=Y"), "BETA_OVERRIDE_END_DT", _xll.BTODAY(), O$4, "BETA_OVERRIDE_PERIOD=D")</f>
        <v>0.52240660000000005</v>
      </c>
      <c r="P28" s="1" cm="1">
        <f t="array" ref="P28">_xll.BDP($A28, "BETA_ADJ_OVERRIDABLE", "BETA_OVERRIDE_START_DT", _xll.BADDPERIODS(_xll.BTODAY(),"NUMBEROFPERIODS=-1","PER=Y"), "BETA_OVERRIDE_END_DT", _xll.BTODAY(), P$4, "BETA_OVERRIDE_PERIOD=D")</f>
        <v>0.35910769999999997</v>
      </c>
      <c r="Q28" s="1" cm="1">
        <f t="array" ref="Q28">_xll.BDP($A28, "BETA_ADJ_OVERRIDABLE", "BETA_OVERRIDE_START_DT", _xll.BADDPERIODS(_xll.BTODAY(),"NUMBEROFPERIODS=-1","PER=Y"), "BETA_OVERRIDE_END_DT", _xll.BTODAY(), Q$4, "BETA_OVERRIDE_PERIOD=D")</f>
        <v>0.2454711</v>
      </c>
      <c r="R28" s="1" cm="1">
        <f t="array" ref="R28">_xll.BDP($A28, "BETA_ADJ_OVERRIDABLE", "BETA_OVERRIDE_START_DT", _xll.BADDPERIODS(_xll.BTODAY(),"NUMBEROFPERIODS=-1","PER=Y"), "BETA_OVERRIDE_END_DT", _xll.BTODAY(), R$4, "BETA_OVERRIDE_PERIOD=D")</f>
        <v>0.927172</v>
      </c>
      <c r="S28" s="1" cm="1">
        <f t="array" ref="S28">_xll.BDP($A28, "BETA_ADJ_OVERRIDABLE", "BETA_OVERRIDE_START_DT", _xll.BADDPERIODS(_xll.BTODAY(),"NUMBEROFPERIODS=-1","PER=Y"), "BETA_OVERRIDE_END_DT", _xll.BTODAY(), S$4, "BETA_OVERRIDE_PERIOD=D")</f>
        <v>3.624377</v>
      </c>
      <c r="T28" s="1" cm="1">
        <f t="array" ref="T28">_xll.BDP($A28, "BETA_ADJ_OVERRIDABLE", "BETA_OVERRIDE_START_DT", _xll.BADDPERIODS(_xll.BTODAY(),"NUMBEROFPERIODS=-1","PER=Y"), "BETA_OVERRIDE_END_DT", _xll.BTODAY(), T$4, "BETA_OVERRIDE_PERIOD=D")</f>
        <v>-4.1117830000000001E-2</v>
      </c>
      <c r="U28" s="1" cm="1">
        <f t="array" ref="U28">_xll.BDP($A28, "BETA_ADJ_OVERRIDABLE", "BETA_OVERRIDE_START_DT", _xll.BADDPERIODS(_xll.BTODAY(),"NUMBEROFPERIODS=-1","PER=Y"), "BETA_OVERRIDE_END_DT", _xll.BTODAY(), U$4, "BETA_OVERRIDE_PERIOD=D")</f>
        <v>0.95072069999999997</v>
      </c>
      <c r="V28" s="1" cm="1">
        <f t="array" ref="V28">_xll.BDP($A28, "BETA_ADJ_OVERRIDABLE", "BETA_OVERRIDE_START_DT", _xll.BADDPERIODS(_xll.BTODAY(),"NUMBEROFPERIODS=-1","PER=Y"), "BETA_OVERRIDE_END_DT", _xll.BTODAY(), V$4, "BETA_OVERRIDE_PERIOD=D")</f>
        <v>0.90460510000000005</v>
      </c>
      <c r="W28" s="1" cm="1">
        <f t="array" ref="W28">_xll.BDP($A28, "BETA_ADJ_OVERRIDABLE", "BETA_OVERRIDE_START_DT", _xll.BADDPERIODS(_xll.BTODAY(),"NUMBEROFPERIODS=-1","PER=Y"), "BETA_OVERRIDE_END_DT", _xll.BTODAY(), W$4, "BETA_OVERRIDE_PERIOD=D")</f>
        <v>0.35910769999999997</v>
      </c>
      <c r="X28" s="1" cm="1">
        <f t="array" ref="X28">_xll.BDP($A28, "BETA_ADJ_OVERRIDABLE", "BETA_OVERRIDE_START_DT", _xll.BADDPERIODS(_xll.BTODAY(),"NUMBEROFPERIODS=-1","PER=Y"), "BETA_OVERRIDE_END_DT", _xll.BTODAY(), X$4, "BETA_OVERRIDE_PERIOD=D")</f>
        <v>0.4112442</v>
      </c>
      <c r="Y28" s="1" cm="1">
        <f t="array" ref="Y28">_xll.BDP($A28, "BETA_ADJ_OVERRIDABLE", "BETA_OVERRIDE_START_DT", _xll.BADDPERIODS(_xll.BTODAY(),"NUMBEROFPERIODS=-1","PER=Y"), "BETA_OVERRIDE_END_DT", _xll.BTODAY(), Y$4, "BETA_OVERRIDE_PERIOD=D")</f>
        <v>0.4174197</v>
      </c>
      <c r="Z28" s="1" cm="1">
        <f t="array" ref="Z28">_xll.BDP($A28, "BETA_ADJ_OVERRIDABLE", "BETA_OVERRIDE_START_DT", _xll.BADDPERIODS(_xll.BTODAY(),"NUMBEROFPERIODS=-1","PER=Y"), "BETA_OVERRIDE_END_DT", _xll.BTODAY(), Z$4, "BETA_OVERRIDE_PERIOD=D")</f>
        <v>0.23345869999999999</v>
      </c>
      <c r="AA28" s="1" cm="1">
        <f t="array" ref="AA28">_xll.BDP($A28, "BETA_ADJ_OVERRIDABLE", "BETA_OVERRIDE_START_DT", _xll.BADDPERIODS(_xll.BTODAY(),"NUMBEROFPERIODS=-1","PER=Y"), "BETA_OVERRIDE_END_DT", _xll.BTODAY(), AA$4, "BETA_OVERRIDE_PERIOD=D")</f>
        <v>0.36792609999999998</v>
      </c>
      <c r="AB28" s="1" cm="1">
        <f t="array" ref="AB28">_xll.BDP($A28, "BETA_ADJ_OVERRIDABLE", "BETA_OVERRIDE_START_DT", _xll.BADDPERIODS(_xll.BTODAY(),"NUMBEROFPERIODS=-1","PER=Y"), "BETA_OVERRIDE_END_DT", _xll.BTODAY(), AB$4, "BETA_OVERRIDE_PERIOD=D")</f>
        <v>0.51736839999999995</v>
      </c>
      <c r="AC28" s="1" cm="1">
        <f t="array" ref="AC28">_xll.BDP($A28, "BETA_ADJ_OVERRIDABLE", "BETA_OVERRIDE_START_DT", _xll.BADDPERIODS(_xll.BTODAY(),"NUMBEROFPERIODS=-1","PER=Y"), "BETA_OVERRIDE_END_DT", _xll.BTODAY(), AC$4, "BETA_OVERRIDE_PERIOD=D")</f>
        <v>0.4970871</v>
      </c>
      <c r="AD28" s="1" cm="1">
        <f t="array" ref="AD28">_xll.BDP($A28, "BETA_ADJ_OVERRIDABLE", "BETA_OVERRIDE_START_DT", _xll.BADDPERIODS(_xll.BTODAY(),"NUMBEROFPERIODS=-1","PER=Y"), "BETA_OVERRIDE_END_DT", _xll.BTODAY(), AD$4, "BETA_OVERRIDE_PERIOD=D")</f>
        <v>0.70628610000000003</v>
      </c>
      <c r="AE28" s="1" cm="1">
        <f t="array" ref="AE28">_xll.BDP($A28, "BETA_ADJ_OVERRIDABLE", "BETA_OVERRIDE_START_DT", _xll.BADDPERIODS(_xll.BTODAY(),"NUMBEROFPERIODS=-1","PER=Y"), "BETA_OVERRIDE_END_DT", _xll.BTODAY(), AE$4, "BETA_OVERRIDE_PERIOD=D")</f>
        <v>-5.6941329999999998E-2</v>
      </c>
      <c r="AF28" s="1" cm="1">
        <f t="array" ref="AF28">_xll.BDP($A28, "BETA_ADJ_OVERRIDABLE", "BETA_OVERRIDE_START_DT", _xll.BADDPERIODS(_xll.BTODAY(),"NUMBEROFPERIODS=-1","PER=Y"), "BETA_OVERRIDE_END_DT", _xll.BTODAY(), AF$4, "BETA_OVERRIDE_PERIOD=D")</f>
        <v>0.79789129999999997</v>
      </c>
      <c r="AG28" s="1" cm="1">
        <f t="array" ref="AG28">_xll.BDP($A28, "BETA_ADJ_OVERRIDABLE", "BETA_OVERRIDE_START_DT", _xll.BADDPERIODS(_xll.BTODAY(),"NUMBEROFPERIODS=-1","PER=Y"), "BETA_OVERRIDE_END_DT", _xll.BTODAY(), AG$4, "BETA_OVERRIDE_PERIOD=D")</f>
        <v>0.32735330000000001</v>
      </c>
      <c r="AH28" s="1" cm="1">
        <f t="array" ref="AH28">_xll.BDP($A28, "BETA_ADJ_OVERRIDABLE", "BETA_OVERRIDE_START_DT", _xll.BADDPERIODS(_xll.BTODAY(),"NUMBEROFPERIODS=-1","PER=Y"), "BETA_OVERRIDE_END_DT", _xll.BTODAY(), AH$4, "BETA_OVERRIDE_PERIOD=D")</f>
        <v>1.032438</v>
      </c>
      <c r="AI28" s="1" cm="1">
        <f t="array" ref="AI28">_xll.BDP($A28, "BETA_ADJ_OVERRIDABLE", "BETA_OVERRIDE_START_DT", _xll.BADDPERIODS(_xll.BTODAY(),"NUMBEROFPERIODS=-1","PER=Y"), "BETA_OVERRIDE_END_DT", _xll.BTODAY(), AI$4, "BETA_OVERRIDE_PERIOD=D")</f>
        <v>0.28878579999999998</v>
      </c>
      <c r="AJ28" s="1" cm="1">
        <f t="array" ref="AJ28">_xll.BDP($A28, "BETA_ADJ_OVERRIDABLE", "BETA_OVERRIDE_START_DT", _xll.BADDPERIODS(_xll.BTODAY(),"NUMBEROFPERIODS=-1","PER=Y"), "BETA_OVERRIDE_END_DT", _xll.BTODAY(), AJ$4, "BETA_OVERRIDE_PERIOD=D")</f>
        <v>0.51634290000000005</v>
      </c>
      <c r="AK28" s="1" cm="1">
        <f t="array" ref="AK28">_xll.BDP($A28, "BETA_ADJ_OVERRIDABLE", "BETA_OVERRIDE_START_DT", _xll.BADDPERIODS(_xll.BTODAY(),"NUMBEROFPERIODS=-1","PER=Y"), "BETA_OVERRIDE_END_DT", _xll.BTODAY(), AK$4, "BETA_OVERRIDE_PERIOD=D")</f>
        <v>0.44236370000000003</v>
      </c>
      <c r="AL28" s="1" cm="1">
        <f t="array" ref="AL28">_xll.BDP($A28, "BETA_ADJ_OVERRIDABLE", "BETA_OVERRIDE_START_DT", _xll.BADDPERIODS(_xll.BTODAY(),"NUMBEROFPERIODS=-1","PER=Y"), "BETA_OVERRIDE_END_DT", _xll.BTODAY(), AL$4, "BETA_OVERRIDE_PERIOD=D")</f>
        <v>0.4657713</v>
      </c>
      <c r="AM28" s="1" cm="1">
        <f t="array" ref="AM28">_xll.BDP($A28, "BETA_ADJ_OVERRIDABLE", "BETA_OVERRIDE_START_DT", _xll.BADDPERIODS(_xll.BTODAY(),"NUMBEROFPERIODS=-1","PER=Y"), "BETA_OVERRIDE_END_DT", _xll.BTODAY(), AM$4, "BETA_OVERRIDE_PERIOD=D")</f>
        <v>0.9319904</v>
      </c>
      <c r="AN28" s="1" cm="1">
        <f t="array" ref="AN28">_xll.BDP($A28, "BETA_ADJ_OVERRIDABLE", "BETA_OVERRIDE_START_DT", _xll.BADDPERIODS(_xll.BTODAY(),"NUMBEROFPERIODS=-1","PER=Y"), "BETA_OVERRIDE_END_DT", _xll.BTODAY(), AN$4, "BETA_OVERRIDE_PERIOD=D")</f>
        <v>1.0130140000000001</v>
      </c>
      <c r="AO28" s="1" cm="1">
        <f t="array" ref="AO28">_xll.BDP($A28, "BETA_ADJ_OVERRIDABLE", "BETA_OVERRIDE_START_DT", _xll.BADDPERIODS(_xll.BTODAY(),"NUMBEROFPERIODS=-1","PER=Y"), "BETA_OVERRIDE_END_DT", _xll.BTODAY(), AO$4, "BETA_OVERRIDE_PERIOD=D")</f>
        <v>1.114201</v>
      </c>
    </row>
    <row r="29" spans="1:41" x14ac:dyDescent="0.25">
      <c r="A29" t="s">
        <v>65</v>
      </c>
      <c r="B29" s="1" cm="1">
        <f t="array" ref="B29">_xll.BDP($A29, B$4)</f>
        <v>0.58136339999999997</v>
      </c>
      <c r="C29" s="1" cm="1">
        <f t="array" ref="C29">_xll.BDP($A29, C$4)</f>
        <v>22.179359999999999</v>
      </c>
      <c r="D29" s="1" cm="1">
        <f t="array" ref="D29">_xll.BDP($A29, "BETA_ADJ_OVERRIDABLE", "BETA_OVERRIDE_START_DT", _xll.BADDPERIODS(_xll.BTODAY(),"NUMBEROFPERIODS=-5","PER=Y"), "BETA_OVERRIDE_END_DT", _xll.BTODAY(), D$4, "BETA_OVERRIDE_PERIOD=M")</f>
        <v>1.224445</v>
      </c>
      <c r="E29" s="1" cm="1">
        <f t="array" ref="E29">_xll.BDP($A29, "BETA_ADJ_OVERRIDABLE", "BETA_OVERRIDE_START_DT", _xll.BADDPERIODS(_xll.BTODAY(),"NUMBEROFPERIODS=-3","PER=Y"), "BETA_OVERRIDE_END_DT", _xll.BTODAY(), E$4, "BETA_OVERRIDE_PERIOD=W")</f>
        <v>0.91228120000000001</v>
      </c>
      <c r="F29" s="1" cm="1">
        <f t="array" ref="F29">_xll.BDP($A29, "BETA_ADJ_OVERRIDABLE", "BETA_OVERRIDE_START_DT", _xll.BADDPERIODS(_xll.BTODAY(),"NUMBEROFPERIODS=-1","PER=Y"), "BETA_OVERRIDE_END_DT", _xll.BTODAY(), F$4, "BETA_OVERRIDE_PERIOD=D")</f>
        <v>0.51100809999999997</v>
      </c>
      <c r="G29" s="1" cm="1">
        <f t="array" ref="G29">_xll.BDP($A29, "BETA_ADJ_OVERRIDABLE", "BETA_OVERRIDE_START_DT", _xll.BADDPERIODS(_xll.BTODAY(),"NUMBEROFPERIODS=-1","PER=Y"), "BETA_OVERRIDE_END_DT", _xll.BTODAY(), G$4, "BETA_OVERRIDE_PERIOD=D")</f>
        <v>0.51041029999999998</v>
      </c>
      <c r="H29" s="1" cm="1">
        <f t="array" ref="H29">_xll.BDP($A29, "BETA_ADJ_OVERRIDABLE", "BETA_OVERRIDE_START_DT", _xll.BADDPERIODS(_xll.BTODAY(),"NUMBEROFPERIODS=-1","PER=Y"), "BETA_OVERRIDE_END_DT", _xll.BTODAY(), H$4, "BETA_OVERRIDE_PERIOD=D")</f>
        <v>0.49903609999999998</v>
      </c>
      <c r="I29" s="1" cm="1">
        <f t="array" ref="I29">_xll.BDP($A29, "BETA_ADJ_OVERRIDABLE", "BETA_OVERRIDE_START_DT", _xll.BADDPERIODS(_xll.BTODAY(),"NUMBEROFPERIODS=-1","PER=Y"), "BETA_OVERRIDE_END_DT", _xll.BTODAY(), I$4, "BETA_OVERRIDE_PERIOD=D")</f>
        <v>0.45404060000000002</v>
      </c>
      <c r="J29" s="1" cm="1">
        <f t="array" ref="J29">_xll.BDP($A29, "BETA_ADJ_OVERRIDABLE", "BETA_OVERRIDE_START_DT", _xll.BADDPERIODS(_xll.BTODAY(),"NUMBEROFPERIODS=-1","PER=Y"), "BETA_OVERRIDE_END_DT", _xll.BTODAY(), J$4, "BETA_OVERRIDE_PERIOD=D")</f>
        <v>0.57236390000000004</v>
      </c>
      <c r="K29" s="1" cm="1">
        <f t="array" ref="K29">_xll.BDP($A29, "BETA_ADJ_OVERRIDABLE", "BETA_OVERRIDE_START_DT", _xll.BADDPERIODS(_xll.BTODAY(),"NUMBEROFPERIODS=-1","PER=Y"), "BETA_OVERRIDE_END_DT", _xll.BTODAY(), K$4, "BETA_OVERRIDE_PERIOD=D")</f>
        <v>0.4543894</v>
      </c>
      <c r="L29" s="1" cm="1">
        <f t="array" ref="L29">_xll.BDP($A29, "BETA_ADJ_OVERRIDABLE", "BETA_OVERRIDE_START_DT", _xll.BADDPERIODS(_xll.BTODAY(),"NUMBEROFPERIODS=-1","PER=Y"), "BETA_OVERRIDE_END_DT", _xll.BTODAY(), L$4, "BETA_OVERRIDE_PERIOD=D")</f>
        <v>0.82899710000000004</v>
      </c>
      <c r="M29" s="1" cm="1">
        <f t="array" ref="M29">_xll.BDP($A29, "BETA_ADJ_OVERRIDABLE", "BETA_OVERRIDE_START_DT", _xll.BADDPERIODS(_xll.BTODAY(),"NUMBEROFPERIODS=-1","PER=Y"), "BETA_OVERRIDE_END_DT", _xll.BTODAY(), M$4, "BETA_OVERRIDE_PERIOD=D")</f>
        <v>0.72665679999999999</v>
      </c>
      <c r="N29" s="1" cm="1">
        <f t="array" ref="N29">_xll.BDP($A29, "BETA_ADJ_OVERRIDABLE", "BETA_OVERRIDE_START_DT", _xll.BADDPERIODS(_xll.BTODAY(),"NUMBEROFPERIODS=-1","PER=Y"), "BETA_OVERRIDE_END_DT", _xll.BTODAY(), N$4, "BETA_OVERRIDE_PERIOD=D")</f>
        <v>0.68033949999999999</v>
      </c>
      <c r="O29" s="1" cm="1">
        <f t="array" ref="O29">_xll.BDP($A29, "BETA_ADJ_OVERRIDABLE", "BETA_OVERRIDE_START_DT", _xll.BADDPERIODS(_xll.BTODAY(),"NUMBEROFPERIODS=-1","PER=Y"), "BETA_OVERRIDE_END_DT", _xll.BTODAY(), O$4, "BETA_OVERRIDE_PERIOD=D")</f>
        <v>0.36055890000000002</v>
      </c>
      <c r="P29" s="1" cm="1">
        <f t="array" ref="P29">_xll.BDP($A29, "BETA_ADJ_OVERRIDABLE", "BETA_OVERRIDE_START_DT", _xll.BADDPERIODS(_xll.BTODAY(),"NUMBEROFPERIODS=-1","PER=Y"), "BETA_OVERRIDE_END_DT", _xll.BTODAY(), P$4, "BETA_OVERRIDE_PERIOD=D")</f>
        <v>0.32752189999999998</v>
      </c>
      <c r="Q29" s="1" cm="1">
        <f t="array" ref="Q29">_xll.BDP($A29, "BETA_ADJ_OVERRIDABLE", "BETA_OVERRIDE_START_DT", _xll.BADDPERIODS(_xll.BTODAY(),"NUMBEROFPERIODS=-1","PER=Y"), "BETA_OVERRIDE_END_DT", _xll.BTODAY(), Q$4, "BETA_OVERRIDE_PERIOD=D")</f>
        <v>0.30483329999999997</v>
      </c>
      <c r="R29" s="1" cm="1">
        <f t="array" ref="R29">_xll.BDP($A29, "BETA_ADJ_OVERRIDABLE", "BETA_OVERRIDE_START_DT", _xll.BADDPERIODS(_xll.BTODAY(),"NUMBEROFPERIODS=-1","PER=Y"), "BETA_OVERRIDE_END_DT", _xll.BTODAY(), R$4, "BETA_OVERRIDE_PERIOD=D")</f>
        <v>0.68292960000000003</v>
      </c>
      <c r="S29" s="1" cm="1">
        <f t="array" ref="S29">_xll.BDP($A29, "BETA_ADJ_OVERRIDABLE", "BETA_OVERRIDE_START_DT", _xll.BADDPERIODS(_xll.BTODAY(),"NUMBEROFPERIODS=-1","PER=Y"), "BETA_OVERRIDE_END_DT", _xll.BTODAY(), S$4, "BETA_OVERRIDE_PERIOD=D")</f>
        <v>2.4653990000000001</v>
      </c>
      <c r="T29" s="1" cm="1">
        <f t="array" ref="T29">_xll.BDP($A29, "BETA_ADJ_OVERRIDABLE", "BETA_OVERRIDE_START_DT", _xll.BADDPERIODS(_xll.BTODAY(),"NUMBEROFPERIODS=-1","PER=Y"), "BETA_OVERRIDE_END_DT", _xll.BTODAY(), T$4, "BETA_OVERRIDE_PERIOD=D")</f>
        <v>0.34802949999999999</v>
      </c>
      <c r="U29" s="1" cm="1">
        <f t="array" ref="U29">_xll.BDP($A29, "BETA_ADJ_OVERRIDABLE", "BETA_OVERRIDE_START_DT", _xll.BADDPERIODS(_xll.BTODAY(),"NUMBEROFPERIODS=-1","PER=Y"), "BETA_OVERRIDE_END_DT", _xll.BTODAY(), U$4, "BETA_OVERRIDE_PERIOD=D")</f>
        <v>1.526564</v>
      </c>
      <c r="V29" s="1" cm="1">
        <f t="array" ref="V29">_xll.BDP($A29, "BETA_ADJ_OVERRIDABLE", "BETA_OVERRIDE_START_DT", _xll.BADDPERIODS(_xll.BTODAY(),"NUMBEROFPERIODS=-1","PER=Y"), "BETA_OVERRIDE_END_DT", _xll.BTODAY(), V$4, "BETA_OVERRIDE_PERIOD=D")</f>
        <v>0.26806069999999999</v>
      </c>
      <c r="W29" s="1" cm="1">
        <f t="array" ref="W29">_xll.BDP($A29, "BETA_ADJ_OVERRIDABLE", "BETA_OVERRIDE_START_DT", _xll.BADDPERIODS(_xll.BTODAY(),"NUMBEROFPERIODS=-1","PER=Y"), "BETA_OVERRIDE_END_DT", _xll.BTODAY(), W$4, "BETA_OVERRIDE_PERIOD=D")</f>
        <v>0.32752189999999998</v>
      </c>
      <c r="X29" s="1" cm="1">
        <f t="array" ref="X29">_xll.BDP($A29, "BETA_ADJ_OVERRIDABLE", "BETA_OVERRIDE_START_DT", _xll.BADDPERIODS(_xll.BTODAY(),"NUMBEROFPERIODS=-1","PER=Y"), "BETA_OVERRIDE_END_DT", _xll.BTODAY(), X$4, "BETA_OVERRIDE_PERIOD=D")</f>
        <v>0.2654646</v>
      </c>
      <c r="Y29" s="1" cm="1">
        <f t="array" ref="Y29">_xll.BDP($A29, "BETA_ADJ_OVERRIDABLE", "BETA_OVERRIDE_START_DT", _xll.BADDPERIODS(_xll.BTODAY(),"NUMBEROFPERIODS=-1","PER=Y"), "BETA_OVERRIDE_END_DT", _xll.BTODAY(), Y$4, "BETA_OVERRIDE_PERIOD=D")</f>
        <v>0.25899109999999997</v>
      </c>
      <c r="Z29" s="1" cm="1">
        <f t="array" ref="Z29">_xll.BDP($A29, "BETA_ADJ_OVERRIDABLE", "BETA_OVERRIDE_START_DT", _xll.BADDPERIODS(_xll.BTODAY(),"NUMBEROFPERIODS=-1","PER=Y"), "BETA_OVERRIDE_END_DT", _xll.BTODAY(), Z$4, "BETA_OVERRIDE_PERIOD=D")</f>
        <v>0.2229131</v>
      </c>
      <c r="AA29" s="1" cm="1">
        <f t="array" ref="AA29">_xll.BDP($A29, "BETA_ADJ_OVERRIDABLE", "BETA_OVERRIDE_START_DT", _xll.BADDPERIODS(_xll.BTODAY(),"NUMBEROFPERIODS=-1","PER=Y"), "BETA_OVERRIDE_END_DT", _xll.BTODAY(), AA$4, "BETA_OVERRIDE_PERIOD=D")</f>
        <v>0.40284160000000002</v>
      </c>
      <c r="AB29" s="1" cm="1">
        <f t="array" ref="AB29">_xll.BDP($A29, "BETA_ADJ_OVERRIDABLE", "BETA_OVERRIDE_START_DT", _xll.BADDPERIODS(_xll.BTODAY(),"NUMBEROFPERIODS=-1","PER=Y"), "BETA_OVERRIDE_END_DT", _xll.BTODAY(), AB$4, "BETA_OVERRIDE_PERIOD=D")</f>
        <v>0.28669860000000003</v>
      </c>
      <c r="AC29" s="1" cm="1">
        <f t="array" ref="AC29">_xll.BDP($A29, "BETA_ADJ_OVERRIDABLE", "BETA_OVERRIDE_START_DT", _xll.BADDPERIODS(_xll.BTODAY(),"NUMBEROFPERIODS=-1","PER=Y"), "BETA_OVERRIDE_END_DT", _xll.BTODAY(), AC$4, "BETA_OVERRIDE_PERIOD=D")</f>
        <v>0.4337937</v>
      </c>
      <c r="AD29" s="1" cm="1">
        <f t="array" ref="AD29">_xll.BDP($A29, "BETA_ADJ_OVERRIDABLE", "BETA_OVERRIDE_START_DT", _xll.BADDPERIODS(_xll.BTODAY(),"NUMBEROFPERIODS=-1","PER=Y"), "BETA_OVERRIDE_END_DT", _xll.BTODAY(), AD$4, "BETA_OVERRIDE_PERIOD=D")</f>
        <v>0.2770861</v>
      </c>
      <c r="AE29" s="1" cm="1">
        <f t="array" ref="AE29">_xll.BDP($A29, "BETA_ADJ_OVERRIDABLE", "BETA_OVERRIDE_START_DT", _xll.BADDPERIODS(_xll.BTODAY(),"NUMBEROFPERIODS=-1","PER=Y"), "BETA_OVERRIDE_END_DT", _xll.BTODAY(), AE$4, "BETA_OVERRIDE_PERIOD=D")</f>
        <v>0.27042310000000003</v>
      </c>
      <c r="AF29" s="1" cm="1">
        <f t="array" ref="AF29">_xll.BDP($A29, "BETA_ADJ_OVERRIDABLE", "BETA_OVERRIDE_START_DT", _xll.BADDPERIODS(_xll.BTODAY(),"NUMBEROFPERIODS=-1","PER=Y"), "BETA_OVERRIDE_END_DT", _xll.BTODAY(), AF$4, "BETA_OVERRIDE_PERIOD=D")</f>
        <v>0.32783760000000001</v>
      </c>
      <c r="AG29" s="1" cm="1">
        <f t="array" ref="AG29">_xll.BDP($A29, "BETA_ADJ_OVERRIDABLE", "BETA_OVERRIDE_START_DT", _xll.BADDPERIODS(_xll.BTODAY(),"NUMBEROFPERIODS=-1","PER=Y"), "BETA_OVERRIDE_END_DT", _xll.BTODAY(), AG$4, "BETA_OVERRIDE_PERIOD=D")</f>
        <v>0.59477679999999999</v>
      </c>
      <c r="AH29" s="1" cm="1">
        <f t="array" ref="AH29">_xll.BDP($A29, "BETA_ADJ_OVERRIDABLE", "BETA_OVERRIDE_START_DT", _xll.BADDPERIODS(_xll.BTODAY(),"NUMBEROFPERIODS=-1","PER=Y"), "BETA_OVERRIDE_END_DT", _xll.BTODAY(), AH$4, "BETA_OVERRIDE_PERIOD=D")</f>
        <v>0.10022789999999999</v>
      </c>
      <c r="AI29" s="1" cm="1">
        <f t="array" ref="AI29">_xll.BDP($A29, "BETA_ADJ_OVERRIDABLE", "BETA_OVERRIDE_START_DT", _xll.BADDPERIODS(_xll.BTODAY(),"NUMBEROFPERIODS=-1","PER=Y"), "BETA_OVERRIDE_END_DT", _xll.BTODAY(), AI$4, "BETA_OVERRIDE_PERIOD=D")</f>
        <v>1.2035370000000001</v>
      </c>
      <c r="AJ29" s="1" cm="1">
        <f t="array" ref="AJ29">_xll.BDP($A29, "BETA_ADJ_OVERRIDABLE", "BETA_OVERRIDE_START_DT", _xll.BADDPERIODS(_xll.BTODAY(),"NUMBEROFPERIODS=-1","PER=Y"), "BETA_OVERRIDE_END_DT", _xll.BTODAY(), AJ$4, "BETA_OVERRIDE_PERIOD=D")</f>
        <v>0.37670310000000001</v>
      </c>
      <c r="AK29" s="1" cm="1">
        <f t="array" ref="AK29">_xll.BDP($A29, "BETA_ADJ_OVERRIDABLE", "BETA_OVERRIDE_START_DT", _xll.BADDPERIODS(_xll.BTODAY(),"NUMBEROFPERIODS=-1","PER=Y"), "BETA_OVERRIDE_END_DT", _xll.BTODAY(), AK$4, "BETA_OVERRIDE_PERIOD=D")</f>
        <v>0.37154219999999999</v>
      </c>
      <c r="AL29" s="1" cm="1">
        <f t="array" ref="AL29">_xll.BDP($A29, "BETA_ADJ_OVERRIDABLE", "BETA_OVERRIDE_START_DT", _xll.BADDPERIODS(_xll.BTODAY(),"NUMBEROFPERIODS=-1","PER=Y"), "BETA_OVERRIDE_END_DT", _xll.BTODAY(), AL$4, "BETA_OVERRIDE_PERIOD=D")</f>
        <v>0.38180009999999998</v>
      </c>
      <c r="AM29" s="1" cm="1">
        <f t="array" ref="AM29">_xll.BDP($A29, "BETA_ADJ_OVERRIDABLE", "BETA_OVERRIDE_START_DT", _xll.BADDPERIODS(_xll.BTODAY(),"NUMBEROFPERIODS=-1","PER=Y"), "BETA_OVERRIDE_END_DT", _xll.BTODAY(), AM$4, "BETA_OVERRIDE_PERIOD=D")</f>
        <v>0.49066920000000003</v>
      </c>
      <c r="AN29" s="1" cm="1">
        <f t="array" ref="AN29">_xll.BDP($A29, "BETA_ADJ_OVERRIDABLE", "BETA_OVERRIDE_START_DT", _xll.BADDPERIODS(_xll.BTODAY(),"NUMBEROFPERIODS=-1","PER=Y"), "BETA_OVERRIDE_END_DT", _xll.BTODAY(), AN$4, "BETA_OVERRIDE_PERIOD=D")</f>
        <v>0.64850699999999994</v>
      </c>
      <c r="AO29" s="1" cm="1">
        <f t="array" ref="AO29">_xll.BDP($A29, "BETA_ADJ_OVERRIDABLE", "BETA_OVERRIDE_START_DT", _xll.BADDPERIODS(_xll.BTODAY(),"NUMBEROFPERIODS=-1","PER=Y"), "BETA_OVERRIDE_END_DT", _xll.BTODAY(), AO$4, "BETA_OVERRIDE_PERIOD=D")</f>
        <v>0.53664710000000004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D06C-6DA9-45F0-B545-61737F9EFC89}">
  <dimension ref="A1:B2"/>
  <sheetViews>
    <sheetView workbookViewId="0">
      <selection activeCell="M8" sqref="M8"/>
    </sheetView>
  </sheetViews>
  <sheetFormatPr defaultRowHeight="15" x14ac:dyDescent="0.25"/>
  <cols>
    <col min="2" max="2" width="14.85546875" bestFit="1" customWidth="1"/>
  </cols>
  <sheetData>
    <row r="1" spans="1:2" x14ac:dyDescent="0.25">
      <c r="B1" t="s">
        <v>67</v>
      </c>
    </row>
    <row r="2" spans="1:2" x14ac:dyDescent="0.25">
      <c r="A2" t="s">
        <v>66</v>
      </c>
      <c r="B2" t="str" cm="1">
        <f t="array" ref="B2">_xll.BDP(A2,B1)</f>
        <v>Bloomberg United States Large &amp; Mid Cap Price Return Index is a float market-cap-weighted equity benchmark that covers the top 85% of market cap of the measured market.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divecha</dc:creator>
  <cp:lastModifiedBy>arjun divecha</cp:lastModifiedBy>
  <dcterms:created xsi:type="dcterms:W3CDTF">2025-10-13T19:21:10Z</dcterms:created>
  <dcterms:modified xsi:type="dcterms:W3CDTF">2025-10-15T21:41:17Z</dcterms:modified>
</cp:coreProperties>
</file>