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-1\AAA Backup\A Working\News Ptoject\"/>
    </mc:Choice>
  </mc:AlternateContent>
  <xr:revisionPtr revIDLastSave="0" documentId="13_ncr:1_{372814AD-3B2C-4F6D-BD60-043204055DB3}" xr6:coauthVersionLast="47" xr6:coauthVersionMax="47" xr10:uidLastSave="{00000000-0000-0000-0000-000000000000}"/>
  <bookViews>
    <workbookView xWindow="9945" yWindow="1995" windowWidth="22530" windowHeight="17520" activeTab="1" xr2:uid="{CE706A1D-43A5-4D6D-8883-AEEF69C276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C11" i="1" a="1"/>
  <c r="C11" i="1" s="1"/>
  <c r="C20" i="1" a="1"/>
  <c r="C20" i="1" s="1"/>
  <c r="C19" i="1" a="1"/>
  <c r="C19" i="1" s="1"/>
  <c r="C21" i="1" a="1"/>
  <c r="C21" i="1" s="1"/>
  <c r="C18" i="1" a="1"/>
  <c r="C18" i="1" s="1"/>
  <c r="C17" i="1" a="1"/>
  <c r="C17" i="1" s="1"/>
  <c r="C23" i="1" a="1"/>
  <c r="C23" i="1" s="1"/>
  <c r="C22" i="1" a="1"/>
  <c r="C22" i="1" s="1"/>
  <c r="C6" i="1" a="1"/>
  <c r="C6" i="1" s="1"/>
  <c r="C7" i="1" a="1"/>
  <c r="C7" i="1" s="1"/>
  <c r="C16" i="1" a="1"/>
  <c r="C16" i="1" s="1"/>
  <c r="C12" i="1" a="1"/>
  <c r="C12" i="1" s="1"/>
  <c r="C15" i="1" a="1"/>
  <c r="C15" i="1" s="1"/>
  <c r="C10" i="1" a="1"/>
  <c r="C10" i="1" s="1"/>
  <c r="C26" i="1" a="1"/>
  <c r="C26" i="1" s="1"/>
  <c r="C28" i="1" a="1"/>
  <c r="C28" i="1" s="1"/>
  <c r="C8" i="1" a="1"/>
  <c r="C8" i="1" s="1"/>
  <c r="C27" i="1" a="1"/>
  <c r="C27" i="1" s="1"/>
  <c r="C25" i="1" a="1"/>
  <c r="C25" i="1" s="1"/>
  <c r="C29" i="1" a="1"/>
  <c r="C29" i="1" s="1"/>
  <c r="C9" i="1" a="1"/>
  <c r="C9" i="1" s="1"/>
  <c r="C14" i="1" a="1"/>
  <c r="C14" i="1" s="1"/>
  <c r="C13" i="1" a="1"/>
  <c r="C13" i="1" s="1"/>
  <c r="C24" i="1" a="1"/>
  <c r="C24" i="1" s="1"/>
  <c r="AG27" i="1" a="1"/>
  <c r="AG27" i="1" s="1"/>
  <c r="AG28" i="1" a="1"/>
  <c r="AG28" i="1" s="1"/>
  <c r="AG16" i="1" a="1"/>
  <c r="AG16" i="1" s="1"/>
  <c r="AG12" i="1" a="1"/>
  <c r="AG12" i="1" s="1"/>
  <c r="AG11" i="1" a="1"/>
  <c r="AG11" i="1" s="1"/>
  <c r="AG29" i="1" a="1"/>
  <c r="AG29" i="1" s="1"/>
  <c r="AG24" i="1" a="1"/>
  <c r="AG24" i="1" s="1"/>
  <c r="AG22" i="1" a="1"/>
  <c r="AG22" i="1" s="1"/>
  <c r="AG26" i="1" a="1"/>
  <c r="AG26" i="1" s="1"/>
  <c r="AG8" i="1" a="1"/>
  <c r="AG8" i="1" s="1"/>
  <c r="AG25" i="1" a="1"/>
  <c r="AG25" i="1" s="1"/>
  <c r="AG9" i="1" a="1"/>
  <c r="AG9" i="1" s="1"/>
  <c r="AG23" i="1" a="1"/>
  <c r="AG23" i="1" s="1"/>
  <c r="AG10" i="1" a="1"/>
  <c r="AG10" i="1" s="1"/>
  <c r="AG17" i="1" a="1"/>
  <c r="AG17" i="1" s="1"/>
  <c r="AG21" i="1" a="1"/>
  <c r="AG21" i="1" s="1"/>
  <c r="AG15" i="1" a="1"/>
  <c r="AG15" i="1" s="1"/>
  <c r="AG19" i="1" a="1"/>
  <c r="AG19" i="1" s="1"/>
  <c r="AG18" i="1" a="1"/>
  <c r="AG18" i="1" s="1"/>
  <c r="AG20" i="1" a="1"/>
  <c r="AG20" i="1" s="1"/>
  <c r="V7" i="1" a="1"/>
  <c r="V7" i="1" s="1"/>
  <c r="V23" i="1" a="1"/>
  <c r="V23" i="1" s="1"/>
  <c r="V21" i="1" a="1"/>
  <c r="V21" i="1" s="1"/>
  <c r="V28" i="1" a="1"/>
  <c r="V28" i="1" s="1"/>
  <c r="V15" i="1" a="1"/>
  <c r="V15" i="1" s="1"/>
  <c r="V18" i="1" a="1"/>
  <c r="V18" i="1" s="1"/>
  <c r="V17" i="1" a="1"/>
  <c r="V17" i="1" s="1"/>
  <c r="V16" i="1" a="1"/>
  <c r="V16" i="1" s="1"/>
  <c r="V27" i="1" a="1"/>
  <c r="V27" i="1" s="1"/>
  <c r="V24" i="1" a="1"/>
  <c r="V24" i="1" s="1"/>
  <c r="F22" i="1" a="1"/>
  <c r="F22" i="1" s="1"/>
  <c r="F20" i="1" a="1"/>
  <c r="F20" i="1" s="1"/>
  <c r="F29" i="1" a="1"/>
  <c r="F29" i="1" s="1"/>
  <c r="F8" i="1" a="1"/>
  <c r="F8" i="1" s="1"/>
  <c r="F10" i="1" a="1"/>
  <c r="F10" i="1" s="1"/>
  <c r="F21" i="1" a="1"/>
  <c r="F21" i="1" s="1"/>
  <c r="F19" i="1" a="1"/>
  <c r="F19" i="1" s="1"/>
  <c r="F7" i="1" a="1"/>
  <c r="F7" i="1" s="1"/>
  <c r="F11" i="1" a="1"/>
  <c r="F11" i="1" s="1"/>
  <c r="F26" i="1" a="1"/>
  <c r="F26" i="1" s="1"/>
  <c r="AG14" i="1" a="1"/>
  <c r="AG14" i="1" s="1"/>
  <c r="AG13" i="1" a="1"/>
  <c r="AG13" i="1" s="1"/>
  <c r="AG6" i="1" a="1"/>
  <c r="AG6" i="1" s="1"/>
  <c r="AG7" i="1" a="1"/>
  <c r="AG7" i="1" s="1"/>
  <c r="Z16" i="1" a="1"/>
  <c r="Z16" i="1" s="1"/>
  <c r="Z10" i="1" a="1"/>
  <c r="Z10" i="1" s="1"/>
  <c r="Z9" i="1" a="1"/>
  <c r="Z9" i="1" s="1"/>
  <c r="Z7" i="1" a="1"/>
  <c r="Z7" i="1" s="1"/>
  <c r="Z15" i="1" a="1"/>
  <c r="Z15" i="1" s="1"/>
  <c r="Z6" i="1" a="1"/>
  <c r="Z6" i="1" s="1"/>
  <c r="Z28" i="1" a="1"/>
  <c r="Z28" i="1" s="1"/>
  <c r="Z17" i="1" a="1"/>
  <c r="Z17" i="1" s="1"/>
  <c r="Z29" i="1" a="1"/>
  <c r="Z29" i="1" s="1"/>
  <c r="Z22" i="1" a="1"/>
  <c r="Z22" i="1" s="1"/>
  <c r="F24" i="1" a="1"/>
  <c r="F24" i="1" s="1"/>
  <c r="F18" i="1" a="1"/>
  <c r="F18" i="1" s="1"/>
  <c r="F12" i="1" a="1"/>
  <c r="F12" i="1" s="1"/>
  <c r="F14" i="1" a="1"/>
  <c r="F14" i="1" s="1"/>
  <c r="F13" i="1" a="1"/>
  <c r="F13" i="1" s="1"/>
  <c r="F9" i="1" a="1"/>
  <c r="F9" i="1" s="1"/>
  <c r="F16" i="1" a="1"/>
  <c r="F16" i="1" s="1"/>
  <c r="F28" i="1" a="1"/>
  <c r="F28" i="1" s="1"/>
  <c r="F25" i="1" a="1"/>
  <c r="F25" i="1" s="1"/>
  <c r="F27" i="1" a="1"/>
  <c r="F27" i="1" s="1"/>
  <c r="F15" i="1" a="1"/>
  <c r="F15" i="1" s="1"/>
  <c r="AJ23" i="1" a="1"/>
  <c r="AJ23" i="1" s="1"/>
  <c r="AJ27" i="1" a="1"/>
  <c r="AJ27" i="1" s="1"/>
  <c r="AJ16" i="1" a="1"/>
  <c r="AJ16" i="1" s="1"/>
  <c r="AJ11" i="1" a="1"/>
  <c r="AJ11" i="1" s="1"/>
  <c r="AJ8" i="1" a="1"/>
  <c r="AJ8" i="1" s="1"/>
  <c r="AJ21" i="1" a="1"/>
  <c r="AJ21" i="1" s="1"/>
  <c r="AJ26" i="1" a="1"/>
  <c r="AJ26" i="1" s="1"/>
  <c r="AJ14" i="1" a="1"/>
  <c r="AJ14" i="1" s="1"/>
  <c r="AJ13" i="1" a="1"/>
  <c r="AJ13" i="1" s="1"/>
  <c r="AJ12" i="1" a="1"/>
  <c r="AJ12" i="1" s="1"/>
  <c r="AJ19" i="1" a="1"/>
  <c r="AJ19" i="1" s="1"/>
  <c r="X21" i="1" a="1"/>
  <c r="X21" i="1" s="1"/>
  <c r="X8" i="1" a="1"/>
  <c r="X8" i="1" s="1"/>
  <c r="X11" i="1" a="1"/>
  <c r="X11" i="1" s="1"/>
  <c r="X23" i="1" a="1"/>
  <c r="X23" i="1" s="1"/>
  <c r="X27" i="1" a="1"/>
  <c r="X27" i="1" s="1"/>
  <c r="X26" i="1" a="1"/>
  <c r="X26" i="1" s="1"/>
  <c r="X10" i="1" a="1"/>
  <c r="X10" i="1" s="1"/>
  <c r="X9" i="1" a="1"/>
  <c r="X9" i="1" s="1"/>
  <c r="X16" i="1" a="1"/>
  <c r="X16" i="1" s="1"/>
  <c r="K17" i="1" a="1"/>
  <c r="K17" i="1" s="1"/>
  <c r="K8" i="1" a="1"/>
  <c r="K8" i="1" s="1"/>
  <c r="K7" i="1" a="1"/>
  <c r="K7" i="1" s="1"/>
  <c r="K20" i="1" a="1"/>
  <c r="K20" i="1" s="1"/>
  <c r="K26" i="1" a="1"/>
  <c r="K26" i="1" s="1"/>
  <c r="K9" i="1" a="1"/>
  <c r="K9" i="1" s="1"/>
  <c r="K24" i="1" a="1"/>
  <c r="K24" i="1" s="1"/>
  <c r="K23" i="1" a="1"/>
  <c r="K23" i="1" s="1"/>
  <c r="K21" i="1" a="1"/>
  <c r="K21" i="1" s="1"/>
  <c r="X12" i="1" a="1"/>
  <c r="X12" i="1" s="1"/>
  <c r="K16" i="1" a="1"/>
  <c r="K16" i="1" s="1"/>
  <c r="K29" i="1" a="1"/>
  <c r="K29" i="1" s="1"/>
  <c r="K22" i="1" a="1"/>
  <c r="K22" i="1" s="1"/>
  <c r="K28" i="1" a="1"/>
  <c r="K28" i="1" s="1"/>
  <c r="K15" i="1" a="1"/>
  <c r="K15" i="1" s="1"/>
  <c r="K18" i="1" a="1"/>
  <c r="K18" i="1" s="1"/>
  <c r="K14" i="1" a="1"/>
  <c r="K14" i="1" s="1"/>
  <c r="K13" i="1" a="1"/>
  <c r="K13" i="1" s="1"/>
  <c r="K25" i="1" a="1"/>
  <c r="K25" i="1" s="1"/>
  <c r="K11" i="1" a="1"/>
  <c r="K11" i="1" s="1"/>
  <c r="K19" i="1" a="1"/>
  <c r="K19" i="1" s="1"/>
  <c r="K6" i="1" a="1"/>
  <c r="K6" i="1" s="1"/>
  <c r="F17" i="1" a="1"/>
  <c r="F17" i="1" s="1"/>
  <c r="F6" i="1" a="1"/>
  <c r="F6" i="1" s="1"/>
  <c r="F23" i="1" a="1"/>
  <c r="F23" i="1" s="1"/>
  <c r="AJ15" i="1" a="1"/>
  <c r="AJ15" i="1" s="1"/>
  <c r="AJ20" i="1" a="1"/>
  <c r="AJ20" i="1" s="1"/>
  <c r="AJ6" i="1" a="1"/>
  <c r="AJ6" i="1" s="1"/>
  <c r="AJ10" i="1" a="1"/>
  <c r="AJ10" i="1" s="1"/>
  <c r="AJ7" i="1" a="1"/>
  <c r="AJ7" i="1" s="1"/>
  <c r="AJ29" i="1" a="1"/>
  <c r="AJ29" i="1" s="1"/>
  <c r="AJ25" i="1" a="1"/>
  <c r="AJ25" i="1" s="1"/>
  <c r="AJ18" i="1" a="1"/>
  <c r="AJ18" i="1" s="1"/>
  <c r="AJ24" i="1" a="1"/>
  <c r="AJ24" i="1" s="1"/>
  <c r="AJ28" i="1" a="1"/>
  <c r="AJ28" i="1" s="1"/>
  <c r="X17" i="1" a="1"/>
  <c r="X17" i="1" s="1"/>
  <c r="X14" i="1" a="1"/>
  <c r="X14" i="1" s="1"/>
  <c r="X13" i="1" a="1"/>
  <c r="X13" i="1" s="1"/>
  <c r="X29" i="1" a="1"/>
  <c r="X29" i="1" s="1"/>
  <c r="X19" i="1" a="1"/>
  <c r="X19" i="1" s="1"/>
  <c r="X25" i="1" a="1"/>
  <c r="X25" i="1" s="1"/>
  <c r="X15" i="1" a="1"/>
  <c r="X15" i="1" s="1"/>
  <c r="X20" i="1" a="1"/>
  <c r="X20" i="1" s="1"/>
  <c r="X6" i="1" a="1"/>
  <c r="X6" i="1" s="1"/>
  <c r="X7" i="1" a="1"/>
  <c r="X7" i="1" s="1"/>
  <c r="X24" i="1" a="1"/>
  <c r="X24" i="1" s="1"/>
  <c r="K27" i="1" a="1"/>
  <c r="K27" i="1" s="1"/>
  <c r="K10" i="1" a="1"/>
  <c r="K10" i="1" s="1"/>
  <c r="K12" i="1" a="1"/>
  <c r="K12" i="1" s="1"/>
  <c r="AC16" i="1" a="1"/>
  <c r="AC16" i="1" s="1"/>
  <c r="AC10" i="1" a="1"/>
  <c r="AC10" i="1" s="1"/>
  <c r="AC18" i="1" a="1"/>
  <c r="AC18" i="1" s="1"/>
  <c r="AC25" i="1" a="1"/>
  <c r="AC25" i="1" s="1"/>
  <c r="AC9" i="1" a="1"/>
  <c r="AC9" i="1" s="1"/>
  <c r="AC20" i="1" a="1"/>
  <c r="AC20" i="1" s="1"/>
  <c r="AC24" i="1" a="1"/>
  <c r="AC24" i="1" s="1"/>
  <c r="AC19" i="1" a="1"/>
  <c r="AC19" i="1" s="1"/>
  <c r="AC17" i="1" a="1"/>
  <c r="AC17" i="1" s="1"/>
  <c r="AC27" i="1" a="1"/>
  <c r="AC27" i="1" s="1"/>
  <c r="AC15" i="1" a="1"/>
  <c r="AC15" i="1" s="1"/>
  <c r="AC22" i="1" a="1"/>
  <c r="AC22" i="1" s="1"/>
  <c r="AC28" i="1" a="1"/>
  <c r="AC28" i="1" s="1"/>
  <c r="AC21" i="1" a="1"/>
  <c r="AC21" i="1" s="1"/>
  <c r="AC8" i="1" a="1"/>
  <c r="AC8" i="1" s="1"/>
  <c r="AC7" i="1" a="1"/>
  <c r="AC7" i="1" s="1"/>
  <c r="AC29" i="1" a="1"/>
  <c r="AC29" i="1" s="1"/>
  <c r="AC26" i="1" a="1"/>
  <c r="AC26" i="1" s="1"/>
  <c r="AC11" i="1" a="1"/>
  <c r="AC11" i="1" s="1"/>
  <c r="AC14" i="1" a="1"/>
  <c r="AC14" i="1" s="1"/>
  <c r="AC13" i="1" a="1"/>
  <c r="AC13" i="1" s="1"/>
  <c r="Z20" i="1" a="1"/>
  <c r="Z20" i="1" s="1"/>
  <c r="Z23" i="1" a="1"/>
  <c r="Z23" i="1" s="1"/>
  <c r="Z8" i="1" a="1"/>
  <c r="Z8" i="1" s="1"/>
  <c r="Z11" i="1" a="1"/>
  <c r="Z11" i="1" s="1"/>
  <c r="Z27" i="1" a="1"/>
  <c r="Z27" i="1" s="1"/>
  <c r="Z24" i="1" a="1"/>
  <c r="Z24" i="1" s="1"/>
  <c r="Z12" i="1" a="1"/>
  <c r="Z12" i="1" s="1"/>
  <c r="Z14" i="1" a="1"/>
  <c r="Z14" i="1" s="1"/>
  <c r="Z13" i="1" a="1"/>
  <c r="Z13" i="1" s="1"/>
  <c r="Z25" i="1" a="1"/>
  <c r="Z25" i="1" s="1"/>
  <c r="Z26" i="1" a="1"/>
  <c r="Z26" i="1" s="1"/>
  <c r="N7" i="1" a="1"/>
  <c r="N7" i="1" s="1"/>
  <c r="N24" i="1" a="1"/>
  <c r="N24" i="1" s="1"/>
  <c r="N8" i="1" a="1"/>
  <c r="N8" i="1" s="1"/>
  <c r="N6" i="1" a="1"/>
  <c r="N6" i="1" s="1"/>
  <c r="N15" i="1" a="1"/>
  <c r="N15" i="1" s="1"/>
  <c r="N9" i="1" a="1"/>
  <c r="N9" i="1" s="1"/>
  <c r="N23" i="1" a="1"/>
  <c r="N23" i="1" s="1"/>
  <c r="N10" i="1" a="1"/>
  <c r="N10" i="1" s="1"/>
  <c r="N12" i="1" a="1"/>
  <c r="N12" i="1" s="1"/>
  <c r="N17" i="1" a="1"/>
  <c r="N17" i="1" s="1"/>
  <c r="O17" i="1" a="1"/>
  <c r="O17" i="1" s="1"/>
  <c r="O7" i="1" a="1"/>
  <c r="O7" i="1" s="1"/>
  <c r="O21" i="1" a="1"/>
  <c r="O21" i="1" s="1"/>
  <c r="O26" i="1" a="1"/>
  <c r="O26" i="1" s="1"/>
  <c r="O20" i="1" a="1"/>
  <c r="O20" i="1" s="1"/>
  <c r="O19" i="1" a="1"/>
  <c r="O19" i="1" s="1"/>
  <c r="O10" i="1" a="1"/>
  <c r="O10" i="1" s="1"/>
  <c r="O11" i="1" a="1"/>
  <c r="O11" i="1" s="1"/>
  <c r="O18" i="1" a="1"/>
  <c r="O18" i="1" s="1"/>
  <c r="O27" i="1" a="1"/>
  <c r="O27" i="1" s="1"/>
  <c r="O22" i="1" a="1"/>
  <c r="O22" i="1" s="1"/>
  <c r="O28" i="1" a="1"/>
  <c r="O28" i="1" s="1"/>
  <c r="O8" i="1" a="1"/>
  <c r="O8" i="1" s="1"/>
  <c r="O25" i="1" a="1"/>
  <c r="O25" i="1" s="1"/>
  <c r="O6" i="1" a="1"/>
  <c r="O6" i="1" s="1"/>
  <c r="O14" i="1" a="1"/>
  <c r="O14" i="1" s="1"/>
  <c r="O13" i="1" a="1"/>
  <c r="O13" i="1" s="1"/>
  <c r="O16" i="1" a="1"/>
  <c r="O16" i="1" s="1"/>
  <c r="O29" i="1" a="1"/>
  <c r="O29" i="1" s="1"/>
  <c r="O15" i="1" a="1"/>
  <c r="O15" i="1" s="1"/>
  <c r="O23" i="1" a="1"/>
  <c r="O23" i="1" s="1"/>
  <c r="N16" i="1" a="1"/>
  <c r="N16" i="1" s="1"/>
  <c r="N14" i="1" a="1"/>
  <c r="N14" i="1" s="1"/>
  <c r="N13" i="1" a="1"/>
  <c r="N13" i="1" s="1"/>
  <c r="N18" i="1" a="1"/>
  <c r="N18" i="1" s="1"/>
  <c r="N19" i="1" a="1"/>
  <c r="N19" i="1" s="1"/>
  <c r="N11" i="1" a="1"/>
  <c r="N11" i="1" s="1"/>
  <c r="N22" i="1" a="1"/>
  <c r="N22" i="1" s="1"/>
  <c r="N28" i="1" a="1"/>
  <c r="N28" i="1" s="1"/>
  <c r="N26" i="1" a="1"/>
  <c r="N26" i="1" s="1"/>
  <c r="N25" i="1" a="1"/>
  <c r="N25" i="1" s="1"/>
  <c r="N29" i="1" a="1"/>
  <c r="N29" i="1" s="1"/>
  <c r="V14" i="1" a="1"/>
  <c r="V14" i="1" s="1"/>
  <c r="V13" i="1" a="1"/>
  <c r="V13" i="1" s="1"/>
  <c r="V10" i="1" a="1"/>
  <c r="V10" i="1" s="1"/>
  <c r="V8" i="1" a="1"/>
  <c r="V8" i="1" s="1"/>
  <c r="V11" i="1" a="1"/>
  <c r="V11" i="1" s="1"/>
  <c r="V19" i="1" a="1"/>
  <c r="V19" i="1" s="1"/>
  <c r="V26" i="1" a="1"/>
  <c r="V26" i="1" s="1"/>
  <c r="V20" i="1" a="1"/>
  <c r="V20" i="1" s="1"/>
  <c r="V9" i="1" a="1"/>
  <c r="V9" i="1" s="1"/>
  <c r="V12" i="1" a="1"/>
  <c r="V12" i="1" s="1"/>
  <c r="V29" i="1" a="1"/>
  <c r="V29" i="1" s="1"/>
  <c r="AJ9" i="1" a="1"/>
  <c r="AJ9" i="1" s="1"/>
  <c r="AJ17" i="1" a="1"/>
  <c r="AJ17" i="1" s="1"/>
  <c r="AJ22" i="1" a="1"/>
  <c r="AJ22" i="1" s="1"/>
  <c r="AC23" i="1" a="1"/>
  <c r="AC23" i="1" s="1"/>
  <c r="AC12" i="1" a="1"/>
  <c r="AC12" i="1" s="1"/>
  <c r="AC6" i="1" a="1"/>
  <c r="AC6" i="1" s="1"/>
  <c r="X18" i="1" a="1"/>
  <c r="X18" i="1" s="1"/>
  <c r="X22" i="1" a="1"/>
  <c r="X22" i="1" s="1"/>
  <c r="X28" i="1" a="1"/>
  <c r="X28" i="1" s="1"/>
  <c r="N21" i="1" a="1"/>
  <c r="N21" i="1" s="1"/>
  <c r="N20" i="1" a="1"/>
  <c r="N20" i="1" s="1"/>
  <c r="N27" i="1" a="1"/>
  <c r="N27" i="1" s="1"/>
  <c r="Z21" i="1" a="1"/>
  <c r="Z21" i="1" s="1"/>
  <c r="Z19" i="1" a="1"/>
  <c r="Z19" i="1" s="1"/>
  <c r="Z18" i="1" a="1"/>
  <c r="Z18" i="1" s="1"/>
  <c r="S7" i="1" a="1"/>
  <c r="S7" i="1" s="1"/>
  <c r="S17" i="1" a="1"/>
  <c r="S17" i="1" s="1"/>
  <c r="S28" i="1" a="1"/>
  <c r="S28" i="1" s="1"/>
  <c r="S9" i="1" a="1"/>
  <c r="S9" i="1" s="1"/>
  <c r="S14" i="1" a="1"/>
  <c r="S14" i="1" s="1"/>
  <c r="S13" i="1" a="1"/>
  <c r="S13" i="1" s="1"/>
  <c r="S8" i="1" a="1"/>
  <c r="S8" i="1" s="1"/>
  <c r="S6" i="1" a="1"/>
  <c r="S6" i="1" s="1"/>
  <c r="S12" i="1" a="1"/>
  <c r="S12" i="1" s="1"/>
  <c r="S26" i="1" a="1"/>
  <c r="S26" i="1" s="1"/>
  <c r="S11" i="1" a="1"/>
  <c r="S11" i="1" s="1"/>
  <c r="R24" i="1" a="1"/>
  <c r="R24" i="1" s="1"/>
  <c r="R28" i="1" a="1"/>
  <c r="R28" i="1" s="1"/>
  <c r="R7" i="1" a="1"/>
  <c r="R7" i="1" s="1"/>
  <c r="R9" i="1" a="1"/>
  <c r="R9" i="1" s="1"/>
  <c r="R17" i="1" a="1"/>
  <c r="R17" i="1" s="1"/>
  <c r="R12" i="1" a="1"/>
  <c r="R12" i="1" s="1"/>
  <c r="R22" i="1" a="1"/>
  <c r="R22" i="1" s="1"/>
  <c r="R10" i="1" a="1"/>
  <c r="R10" i="1" s="1"/>
  <c r="R11" i="1" a="1"/>
  <c r="R11" i="1" s="1"/>
  <c r="R27" i="1" a="1"/>
  <c r="R27" i="1" s="1"/>
  <c r="V22" i="1" a="1"/>
  <c r="V22" i="1" s="1"/>
  <c r="V6" i="1" a="1"/>
  <c r="V6" i="1" s="1"/>
  <c r="V25" i="1" a="1"/>
  <c r="V25" i="1" s="1"/>
  <c r="AD20" i="1" a="1"/>
  <c r="AD20" i="1" s="1"/>
  <c r="AD16" i="1" a="1"/>
  <c r="AD16" i="1" s="1"/>
  <c r="AD7" i="1" a="1"/>
  <c r="AD7" i="1" s="1"/>
  <c r="AD28" i="1" a="1"/>
  <c r="AD28" i="1" s="1"/>
  <c r="AD18" i="1" a="1"/>
  <c r="AD18" i="1" s="1"/>
  <c r="AD19" i="1" a="1"/>
  <c r="AD19" i="1" s="1"/>
  <c r="AD10" i="1" a="1"/>
  <c r="AD10" i="1" s="1"/>
  <c r="AD11" i="1" a="1"/>
  <c r="AD11" i="1" s="1"/>
  <c r="AD6" i="1" a="1"/>
  <c r="AD6" i="1" s="1"/>
  <c r="AD27" i="1" a="1"/>
  <c r="AD27" i="1" s="1"/>
  <c r="R18" i="1" a="1"/>
  <c r="R18" i="1" s="1"/>
  <c r="R8" i="1" a="1"/>
  <c r="R8" i="1" s="1"/>
  <c r="R25" i="1" a="1"/>
  <c r="R25" i="1" s="1"/>
  <c r="R21" i="1" a="1"/>
  <c r="R21" i="1" s="1"/>
  <c r="R26" i="1" a="1"/>
  <c r="R26" i="1" s="1"/>
  <c r="R16" i="1" a="1"/>
  <c r="R16" i="1" s="1"/>
  <c r="R14" i="1" a="1"/>
  <c r="R14" i="1" s="1"/>
  <c r="R13" i="1" a="1"/>
  <c r="R13" i="1" s="1"/>
  <c r="R23" i="1" a="1"/>
  <c r="R23" i="1" s="1"/>
  <c r="R19" i="1" a="1"/>
  <c r="R19" i="1" s="1"/>
  <c r="R15" i="1" a="1"/>
  <c r="R15" i="1" s="1"/>
  <c r="Q16" i="1" a="1"/>
  <c r="Q16" i="1" s="1"/>
  <c r="Q28" i="1" a="1"/>
  <c r="Q28" i="1" s="1"/>
  <c r="Q14" i="1" a="1"/>
  <c r="Q14" i="1" s="1"/>
  <c r="Q13" i="1" a="1"/>
  <c r="Q13" i="1" s="1"/>
  <c r="Q12" i="1" a="1"/>
  <c r="Q12" i="1" s="1"/>
  <c r="Q23" i="1" a="1"/>
  <c r="Q23" i="1" s="1"/>
  <c r="Q25" i="1" a="1"/>
  <c r="Q25" i="1" s="1"/>
  <c r="Q26" i="1" a="1"/>
  <c r="Q26" i="1" s="1"/>
  <c r="Q20" i="1" a="1"/>
  <c r="Q20" i="1" s="1"/>
  <c r="Q19" i="1" a="1"/>
  <c r="Q19" i="1" s="1"/>
  <c r="Q11" i="1" a="1"/>
  <c r="Q11" i="1" s="1"/>
  <c r="Y24" i="1" a="1"/>
  <c r="Y24" i="1" s="1"/>
  <c r="Y15" i="1" a="1"/>
  <c r="Y15" i="1" s="1"/>
  <c r="Y29" i="1" a="1"/>
  <c r="Y29" i="1" s="1"/>
  <c r="Y16" i="1" a="1"/>
  <c r="Y16" i="1" s="1"/>
  <c r="Y27" i="1" a="1"/>
  <c r="Y27" i="1" s="1"/>
  <c r="Y11" i="1" a="1"/>
  <c r="Y11" i="1" s="1"/>
  <c r="Y21" i="1" a="1"/>
  <c r="Y21" i="1" s="1"/>
  <c r="Y20" i="1" a="1"/>
  <c r="Y20" i="1" s="1"/>
  <c r="Y9" i="1" a="1"/>
  <c r="Y9" i="1" s="1"/>
  <c r="Y25" i="1" a="1"/>
  <c r="Y25" i="1" s="1"/>
  <c r="O24" i="1" a="1"/>
  <c r="O24" i="1" s="1"/>
  <c r="O9" i="1" a="1"/>
  <c r="O9" i="1" s="1"/>
  <c r="O12" i="1" a="1"/>
  <c r="O12" i="1" s="1"/>
  <c r="R29" i="1" a="1"/>
  <c r="R29" i="1" s="1"/>
  <c r="R20" i="1" a="1"/>
  <c r="R20" i="1" s="1"/>
  <c r="R6" i="1" a="1"/>
  <c r="R6" i="1" s="1"/>
  <c r="Q22" i="1" a="1"/>
  <c r="Q22" i="1" s="1"/>
  <c r="Q7" i="1" a="1"/>
  <c r="Q7" i="1" s="1"/>
  <c r="Q9" i="1" a="1"/>
  <c r="Q9" i="1" s="1"/>
  <c r="Q17" i="1" a="1"/>
  <c r="Q17" i="1" s="1"/>
  <c r="Q8" i="1" a="1"/>
  <c r="Q8" i="1" s="1"/>
  <c r="Q24" i="1" a="1"/>
  <c r="Q24" i="1" s="1"/>
  <c r="Q6" i="1" a="1"/>
  <c r="Q6" i="1" s="1"/>
  <c r="Q15" i="1" a="1"/>
  <c r="Q15" i="1" s="1"/>
  <c r="Q27" i="1" a="1"/>
  <c r="Q27" i="1" s="1"/>
  <c r="Q21" i="1" a="1"/>
  <c r="Q21" i="1" s="1"/>
  <c r="S15" i="1" a="1"/>
  <c r="S15" i="1" s="1"/>
  <c r="S19" i="1" a="1"/>
  <c r="S19" i="1" s="1"/>
  <c r="S20" i="1" a="1"/>
  <c r="S20" i="1" s="1"/>
  <c r="S21" i="1" a="1"/>
  <c r="S21" i="1" s="1"/>
  <c r="S18" i="1" a="1"/>
  <c r="S18" i="1" s="1"/>
  <c r="S27" i="1" a="1"/>
  <c r="S27" i="1" s="1"/>
  <c r="S29" i="1" a="1"/>
  <c r="S29" i="1" s="1"/>
  <c r="S23" i="1" a="1"/>
  <c r="S23" i="1" s="1"/>
  <c r="S22" i="1" a="1"/>
  <c r="S22" i="1" s="1"/>
  <c r="S16" i="1" a="1"/>
  <c r="S16" i="1" s="1"/>
  <c r="W25" i="1" a="1"/>
  <c r="W25" i="1" s="1"/>
  <c r="W26" i="1" a="1"/>
  <c r="W26" i="1" s="1"/>
  <c r="W28" i="1" a="1"/>
  <c r="W28" i="1" s="1"/>
  <c r="W23" i="1" a="1"/>
  <c r="W23" i="1" s="1"/>
  <c r="W11" i="1" a="1"/>
  <c r="W11" i="1" s="1"/>
  <c r="W21" i="1" a="1"/>
  <c r="W21" i="1" s="1"/>
  <c r="W9" i="1" a="1"/>
  <c r="W9" i="1" s="1"/>
  <c r="W27" i="1" a="1"/>
  <c r="W27" i="1" s="1"/>
  <c r="W19" i="1" a="1"/>
  <c r="W19" i="1" s="1"/>
  <c r="W10" i="1" a="1"/>
  <c r="W10" i="1" s="1"/>
  <c r="S24" i="1" a="1"/>
  <c r="S24" i="1" s="1"/>
  <c r="S10" i="1" a="1"/>
  <c r="S10" i="1" s="1"/>
  <c r="S25" i="1" a="1"/>
  <c r="S25" i="1" s="1"/>
  <c r="Q29" i="1" a="1"/>
  <c r="Q29" i="1" s="1"/>
  <c r="Q18" i="1" a="1"/>
  <c r="Q18" i="1" s="1"/>
  <c r="Q10" i="1" a="1"/>
  <c r="Q10" i="1" s="1"/>
  <c r="Y28" i="1" a="1"/>
  <c r="Y28" i="1" s="1"/>
  <c r="Y7" i="1" a="1"/>
  <c r="Y7" i="1" s="1"/>
  <c r="Y22" i="1" a="1"/>
  <c r="Y22" i="1" s="1"/>
  <c r="Y26" i="1" a="1"/>
  <c r="Y26" i="1" s="1"/>
  <c r="Y12" i="1" a="1"/>
  <c r="Y12" i="1" s="1"/>
  <c r="Y23" i="1" a="1"/>
  <c r="Y23" i="1" s="1"/>
  <c r="Y17" i="1" a="1"/>
  <c r="Y17" i="1" s="1"/>
  <c r="Y14" i="1" a="1"/>
  <c r="Y14" i="1" s="1"/>
  <c r="Y13" i="1" a="1"/>
  <c r="Y13" i="1" s="1"/>
  <c r="Y18" i="1" a="1"/>
  <c r="Y18" i="1" s="1"/>
  <c r="Y8" i="1" a="1"/>
  <c r="Y8" i="1" s="1"/>
  <c r="AD17" i="1" a="1"/>
  <c r="AD17" i="1" s="1"/>
  <c r="AD29" i="1" a="1"/>
  <c r="AD29" i="1" s="1"/>
  <c r="AD22" i="1" a="1"/>
  <c r="AD22" i="1" s="1"/>
  <c r="AD9" i="1" a="1"/>
  <c r="AD9" i="1" s="1"/>
  <c r="AD23" i="1" a="1"/>
  <c r="AD23" i="1" s="1"/>
  <c r="AD12" i="1" a="1"/>
  <c r="AD12" i="1" s="1"/>
  <c r="AD26" i="1" a="1"/>
  <c r="AD26" i="1" s="1"/>
  <c r="AD15" i="1" a="1"/>
  <c r="AD15" i="1" s="1"/>
  <c r="AD25" i="1" a="1"/>
  <c r="AD25" i="1" s="1"/>
  <c r="AD21" i="1" a="1"/>
  <c r="AD21" i="1" s="1"/>
  <c r="Y6" i="1" a="1"/>
  <c r="Y6" i="1" s="1"/>
  <c r="Y19" i="1" a="1"/>
  <c r="Y19" i="1" s="1"/>
  <c r="Y10" i="1" a="1"/>
  <c r="Y10" i="1" s="1"/>
  <c r="AD24" i="1" a="1"/>
  <c r="AD24" i="1" s="1"/>
  <c r="AD8" i="1" a="1"/>
  <c r="AD8" i="1" s="1"/>
  <c r="AD14" i="1" a="1"/>
  <c r="AD14" i="1" s="1"/>
  <c r="AD13" i="1" a="1"/>
  <c r="AD13" i="1" s="1"/>
  <c r="AH16" i="1" a="1"/>
  <c r="AH16" i="1" s="1"/>
  <c r="AH15" i="1" a="1"/>
  <c r="AH15" i="1" s="1"/>
  <c r="AH27" i="1" a="1"/>
  <c r="AH27" i="1" s="1"/>
  <c r="AH11" i="1" a="1"/>
  <c r="AH11" i="1" s="1"/>
  <c r="AH22" i="1" a="1"/>
  <c r="AH22" i="1" s="1"/>
  <c r="AH10" i="1" a="1"/>
  <c r="AH10" i="1" s="1"/>
  <c r="AH25" i="1" a="1"/>
  <c r="AH25" i="1" s="1"/>
  <c r="AH21" i="1" a="1"/>
  <c r="AH21" i="1" s="1"/>
  <c r="AH28" i="1" a="1"/>
  <c r="AH28" i="1" s="1"/>
  <c r="AH9" i="1" a="1"/>
  <c r="AH9" i="1" s="1"/>
  <c r="W16" i="1" a="1"/>
  <c r="W16" i="1" s="1"/>
  <c r="W29" i="1" a="1"/>
  <c r="W29" i="1" s="1"/>
  <c r="W12" i="1" a="1"/>
  <c r="W12" i="1" s="1"/>
  <c r="W20" i="1" a="1"/>
  <c r="W20" i="1" s="1"/>
  <c r="W7" i="1" a="1"/>
  <c r="W7" i="1" s="1"/>
  <c r="W22" i="1" a="1"/>
  <c r="W22" i="1" s="1"/>
  <c r="W6" i="1" a="1"/>
  <c r="W6" i="1" s="1"/>
  <c r="W18" i="1" a="1"/>
  <c r="W18" i="1" s="1"/>
  <c r="W24" i="1" a="1"/>
  <c r="W24" i="1" s="1"/>
  <c r="W8" i="1" a="1"/>
  <c r="W8" i="1" s="1"/>
  <c r="U26" i="1" a="1"/>
  <c r="U26" i="1" s="1"/>
  <c r="U17" i="1" a="1"/>
  <c r="U17" i="1" s="1"/>
  <c r="U16" i="1" a="1"/>
  <c r="U16" i="1" s="1"/>
  <c r="U19" i="1" a="1"/>
  <c r="U19" i="1" s="1"/>
  <c r="U29" i="1" a="1"/>
  <c r="U29" i="1" s="1"/>
  <c r="U12" i="1" a="1"/>
  <c r="U12" i="1" s="1"/>
  <c r="U9" i="1" a="1"/>
  <c r="U9" i="1" s="1"/>
  <c r="U18" i="1" a="1"/>
  <c r="U18" i="1" s="1"/>
  <c r="U21" i="1" a="1"/>
  <c r="U21" i="1" s="1"/>
  <c r="U20" i="1" a="1"/>
  <c r="U20" i="1" s="1"/>
  <c r="AM19" i="1" a="1"/>
  <c r="AM19" i="1" s="1"/>
  <c r="AM22" i="1" a="1"/>
  <c r="AM22" i="1" s="1"/>
  <c r="AM24" i="1" a="1"/>
  <c r="AM24" i="1" s="1"/>
  <c r="AM7" i="1" a="1"/>
  <c r="AM7" i="1" s="1"/>
  <c r="AM29" i="1" a="1"/>
  <c r="AM29" i="1" s="1"/>
  <c r="AM11" i="1" a="1"/>
  <c r="AM11" i="1" s="1"/>
  <c r="AM23" i="1" a="1"/>
  <c r="AM23" i="1" s="1"/>
  <c r="AM27" i="1" a="1"/>
  <c r="AM27" i="1" s="1"/>
  <c r="AM6" i="1" a="1"/>
  <c r="AM6" i="1" s="1"/>
  <c r="AM14" i="1" a="1"/>
  <c r="AM14" i="1" s="1"/>
  <c r="AM13" i="1" a="1"/>
  <c r="AM13" i="1" s="1"/>
  <c r="U25" i="1" a="1"/>
  <c r="U25" i="1" s="1"/>
  <c r="U27" i="1" a="1"/>
  <c r="U27" i="1" s="1"/>
  <c r="U8" i="1" a="1"/>
  <c r="U8" i="1" s="1"/>
  <c r="U24" i="1" a="1"/>
  <c r="U24" i="1" s="1"/>
  <c r="U7" i="1" a="1"/>
  <c r="U7" i="1" s="1"/>
  <c r="U22" i="1" a="1"/>
  <c r="U22" i="1" s="1"/>
  <c r="U11" i="1" a="1"/>
  <c r="U11" i="1" s="1"/>
  <c r="U15" i="1" a="1"/>
  <c r="U15" i="1" s="1"/>
  <c r="U28" i="1" a="1"/>
  <c r="U28" i="1" s="1"/>
  <c r="U10" i="1" a="1"/>
  <c r="U10" i="1" s="1"/>
  <c r="AM8" i="1" a="1"/>
  <c r="AM8" i="1" s="1"/>
  <c r="AM16" i="1" a="1"/>
  <c r="AM16" i="1" s="1"/>
  <c r="AM10" i="1" a="1"/>
  <c r="AM10" i="1" s="1"/>
  <c r="AM21" i="1" a="1"/>
  <c r="AM21" i="1" s="1"/>
  <c r="AM12" i="1" a="1"/>
  <c r="AM12" i="1" s="1"/>
  <c r="AM15" i="1" a="1"/>
  <c r="AM15" i="1" s="1"/>
  <c r="AM25" i="1" a="1"/>
  <c r="AM25" i="1" s="1"/>
  <c r="AM17" i="1" a="1"/>
  <c r="AM17" i="1" s="1"/>
  <c r="AM26" i="1" a="1"/>
  <c r="AM26" i="1" s="1"/>
  <c r="AM18" i="1" a="1"/>
  <c r="AM18" i="1" s="1"/>
  <c r="AK18" i="1" a="1"/>
  <c r="AK18" i="1" s="1"/>
  <c r="AK24" i="1" a="1"/>
  <c r="AK24" i="1" s="1"/>
  <c r="AK17" i="1" a="1"/>
  <c r="AK17" i="1" s="1"/>
  <c r="AK19" i="1" a="1"/>
  <c r="AK19" i="1" s="1"/>
  <c r="AK27" i="1" a="1"/>
  <c r="AK27" i="1" s="1"/>
  <c r="AK26" i="1" a="1"/>
  <c r="AK26" i="1" s="1"/>
  <c r="AK28" i="1" a="1"/>
  <c r="AK28" i="1" s="1"/>
  <c r="AK16" i="1" a="1"/>
  <c r="AK16" i="1" s="1"/>
  <c r="AK15" i="1" a="1"/>
  <c r="AK15" i="1" s="1"/>
  <c r="AK29" i="1" a="1"/>
  <c r="AK29" i="1" s="1"/>
  <c r="AK14" i="1" a="1"/>
  <c r="AK14" i="1" s="1"/>
  <c r="AK13" i="1" a="1"/>
  <c r="AK13" i="1" s="1"/>
  <c r="AK12" i="1" a="1"/>
  <c r="AK12" i="1" s="1"/>
  <c r="AK23" i="1" a="1"/>
  <c r="AK23" i="1" s="1"/>
  <c r="AK22" i="1" a="1"/>
  <c r="AK22" i="1" s="1"/>
  <c r="AK10" i="1" a="1"/>
  <c r="AK10" i="1" s="1"/>
  <c r="AK20" i="1" a="1"/>
  <c r="AK20" i="1" s="1"/>
  <c r="AK11" i="1" a="1"/>
  <c r="AK11" i="1" s="1"/>
  <c r="AK7" i="1" a="1"/>
  <c r="AK7" i="1" s="1"/>
  <c r="AK8" i="1" a="1"/>
  <c r="AK8" i="1" s="1"/>
  <c r="AK6" i="1" a="1"/>
  <c r="AK6" i="1" s="1"/>
  <c r="AE15" i="1" a="1"/>
  <c r="AE15" i="1" s="1"/>
  <c r="AE26" i="1" a="1"/>
  <c r="AE26" i="1" s="1"/>
  <c r="AE25" i="1" a="1"/>
  <c r="AE25" i="1" s="1"/>
  <c r="AE22" i="1" a="1"/>
  <c r="AE22" i="1" s="1"/>
  <c r="AE24" i="1" a="1"/>
  <c r="AE24" i="1" s="1"/>
  <c r="AE10" i="1" a="1"/>
  <c r="AE10" i="1" s="1"/>
  <c r="AE29" i="1" a="1"/>
  <c r="AE29" i="1" s="1"/>
  <c r="AE28" i="1" a="1"/>
  <c r="AE28" i="1" s="1"/>
  <c r="AE19" i="1" a="1"/>
  <c r="AE19" i="1" s="1"/>
  <c r="AE16" i="1" a="1"/>
  <c r="AE16" i="1" s="1"/>
  <c r="AH19" i="1" a="1"/>
  <c r="AH19" i="1" s="1"/>
  <c r="AH7" i="1" a="1"/>
  <c r="AH7" i="1" s="1"/>
  <c r="AH18" i="1" a="1"/>
  <c r="AH18" i="1" s="1"/>
  <c r="AH24" i="1" a="1"/>
  <c r="AH24" i="1" s="1"/>
  <c r="AH17" i="1" a="1"/>
  <c r="AH17" i="1" s="1"/>
  <c r="AH12" i="1" a="1"/>
  <c r="AH12" i="1" s="1"/>
  <c r="AH29" i="1" a="1"/>
  <c r="AH29" i="1" s="1"/>
  <c r="AH14" i="1" a="1"/>
  <c r="AH14" i="1" s="1"/>
  <c r="AH13" i="1" a="1"/>
  <c r="AH13" i="1" s="1"/>
  <c r="AH8" i="1" a="1"/>
  <c r="AH8" i="1" s="1"/>
  <c r="AH20" i="1" a="1"/>
  <c r="AH20" i="1" s="1"/>
  <c r="U23" i="1" a="1"/>
  <c r="U23" i="1" s="1"/>
  <c r="U14" i="1" a="1"/>
  <c r="U14" i="1" s="1"/>
  <c r="U13" i="1" a="1"/>
  <c r="U13" i="1" s="1"/>
  <c r="U6" i="1" a="1"/>
  <c r="U6" i="1" s="1"/>
  <c r="I28" i="1" a="1"/>
  <c r="I28" i="1" s="1"/>
  <c r="I12" i="1" a="1"/>
  <c r="I12" i="1" s="1"/>
  <c r="I19" i="1" a="1"/>
  <c r="I19" i="1" s="1"/>
  <c r="I24" i="1" a="1"/>
  <c r="I24" i="1" s="1"/>
  <c r="I27" i="1" a="1"/>
  <c r="I27" i="1" s="1"/>
  <c r="I23" i="1" a="1"/>
  <c r="I23" i="1" s="1"/>
  <c r="I7" i="1" a="1"/>
  <c r="I7" i="1" s="1"/>
  <c r="I22" i="1" a="1"/>
  <c r="I22" i="1" s="1"/>
  <c r="I17" i="1" a="1"/>
  <c r="I17" i="1" s="1"/>
  <c r="I14" i="1" a="1"/>
  <c r="I14" i="1" s="1"/>
  <c r="I13" i="1" a="1"/>
  <c r="I13" i="1" s="1"/>
  <c r="AB24" i="1" a="1"/>
  <c r="AB24" i="1" s="1"/>
  <c r="AB22" i="1" a="1"/>
  <c r="AB22" i="1" s="1"/>
  <c r="AB26" i="1" a="1"/>
  <c r="AB26" i="1" s="1"/>
  <c r="AB20" i="1" a="1"/>
  <c r="AB20" i="1" s="1"/>
  <c r="AB18" i="1" a="1"/>
  <c r="AB18" i="1" s="1"/>
  <c r="AB11" i="1" a="1"/>
  <c r="AB11" i="1" s="1"/>
  <c r="AB12" i="1" a="1"/>
  <c r="AB12" i="1" s="1"/>
  <c r="AB21" i="1" a="1"/>
  <c r="AB21" i="1" s="1"/>
  <c r="AB8" i="1" a="1"/>
  <c r="AB8" i="1" s="1"/>
  <c r="AB10" i="1" a="1"/>
  <c r="AB10" i="1" s="1"/>
  <c r="I8" i="1" a="1"/>
  <c r="I8" i="1" s="1"/>
  <c r="I10" i="1" a="1"/>
  <c r="I10" i="1" s="1"/>
  <c r="I15" i="1" a="1"/>
  <c r="I15" i="1" s="1"/>
  <c r="I9" i="1" a="1"/>
  <c r="I9" i="1" s="1"/>
  <c r="I20" i="1" a="1"/>
  <c r="I20" i="1" s="1"/>
  <c r="I11" i="1" a="1"/>
  <c r="I11" i="1" s="1"/>
  <c r="I25" i="1" a="1"/>
  <c r="I25" i="1" s="1"/>
  <c r="I21" i="1" a="1"/>
  <c r="I21" i="1" s="1"/>
  <c r="I18" i="1" a="1"/>
  <c r="I18" i="1" s="1"/>
  <c r="I6" i="1" a="1"/>
  <c r="I6" i="1" s="1"/>
  <c r="P7" i="1" a="1"/>
  <c r="P7" i="1" s="1"/>
  <c r="P10" i="1" a="1"/>
  <c r="P10" i="1" s="1"/>
  <c r="P27" i="1" a="1"/>
  <c r="P27" i="1" s="1"/>
  <c r="P17" i="1" a="1"/>
  <c r="P17" i="1" s="1"/>
  <c r="P24" i="1" a="1"/>
  <c r="P24" i="1" s="1"/>
  <c r="P12" i="1" a="1"/>
  <c r="P12" i="1" s="1"/>
  <c r="P20" i="1" a="1"/>
  <c r="P20" i="1" s="1"/>
  <c r="P11" i="1" a="1"/>
  <c r="P11" i="1" s="1"/>
  <c r="P26" i="1" a="1"/>
  <c r="P26" i="1" s="1"/>
  <c r="P9" i="1" a="1"/>
  <c r="P9" i="1" s="1"/>
  <c r="AB15" i="1" a="1"/>
  <c r="AB15" i="1" s="1"/>
  <c r="AB6" i="1" a="1"/>
  <c r="AB6" i="1" s="1"/>
  <c r="AB7" i="1" a="1"/>
  <c r="AB7" i="1" s="1"/>
  <c r="AB19" i="1" a="1"/>
  <c r="AB19" i="1" s="1"/>
  <c r="AB23" i="1" a="1"/>
  <c r="AB23" i="1" s="1"/>
  <c r="AB9" i="1" a="1"/>
  <c r="AB9" i="1" s="1"/>
  <c r="AB28" i="1" a="1"/>
  <c r="AB28" i="1" s="1"/>
  <c r="AB29" i="1" a="1"/>
  <c r="AB29" i="1" s="1"/>
  <c r="AB14" i="1" a="1"/>
  <c r="AB14" i="1" s="1"/>
  <c r="AB13" i="1" a="1"/>
  <c r="AB13" i="1" s="1"/>
  <c r="AB27" i="1" a="1"/>
  <c r="AB27" i="1" s="1"/>
  <c r="I29" i="1" a="1"/>
  <c r="I29" i="1" s="1"/>
  <c r="I16" i="1" a="1"/>
  <c r="I16" i="1" s="1"/>
  <c r="I26" i="1" a="1"/>
  <c r="I26" i="1" s="1"/>
  <c r="T15" i="1" a="1"/>
  <c r="T15" i="1" s="1"/>
  <c r="T16" i="1" a="1"/>
  <c r="T16" i="1" s="1"/>
  <c r="T27" i="1" a="1"/>
  <c r="T27" i="1" s="1"/>
  <c r="T17" i="1" a="1"/>
  <c r="T17" i="1" s="1"/>
  <c r="T7" i="1" a="1"/>
  <c r="T7" i="1" s="1"/>
  <c r="T24" i="1" a="1"/>
  <c r="T24" i="1" s="1"/>
  <c r="T23" i="1" a="1"/>
  <c r="T23" i="1" s="1"/>
  <c r="T21" i="1" a="1"/>
  <c r="T21" i="1" s="1"/>
  <c r="T28" i="1" a="1"/>
  <c r="T28" i="1" s="1"/>
  <c r="T20" i="1" a="1"/>
  <c r="T20" i="1" s="1"/>
  <c r="P22" i="1" a="1"/>
  <c r="P22" i="1" s="1"/>
  <c r="P23" i="1" a="1"/>
  <c r="P23" i="1" s="1"/>
  <c r="P25" i="1" a="1"/>
  <c r="P25" i="1" s="1"/>
  <c r="P14" i="1" a="1"/>
  <c r="P14" i="1" s="1"/>
  <c r="P13" i="1" a="1"/>
  <c r="P13" i="1" s="1"/>
  <c r="P6" i="1" a="1"/>
  <c r="P6" i="1" s="1"/>
  <c r="P19" i="1" a="1"/>
  <c r="P19" i="1" s="1"/>
  <c r="P16" i="1" a="1"/>
  <c r="P16" i="1" s="1"/>
  <c r="P29" i="1" a="1"/>
  <c r="P29" i="1" s="1"/>
  <c r="P18" i="1" a="1"/>
  <c r="P18" i="1" s="1"/>
  <c r="P8" i="1" a="1"/>
  <c r="P8" i="1" s="1"/>
  <c r="AH23" i="1" a="1"/>
  <c r="AH23" i="1" s="1"/>
  <c r="AH6" i="1" a="1"/>
  <c r="AH6" i="1" s="1"/>
  <c r="AH26" i="1" a="1"/>
  <c r="AH26" i="1" s="1"/>
  <c r="W17" i="1" a="1"/>
  <c r="W17" i="1" s="1"/>
  <c r="W14" i="1" a="1"/>
  <c r="W14" i="1" s="1"/>
  <c r="W13" i="1" a="1"/>
  <c r="W13" i="1" s="1"/>
  <c r="W15" i="1" a="1"/>
  <c r="W15" i="1" s="1"/>
  <c r="AM28" i="1" a="1"/>
  <c r="AM28" i="1" s="1"/>
  <c r="AM20" i="1" a="1"/>
  <c r="AM20" i="1" s="1"/>
  <c r="AM9" i="1" a="1"/>
  <c r="AM9" i="1" s="1"/>
  <c r="AE23" i="1" a="1"/>
  <c r="AE23" i="1" s="1"/>
  <c r="AE27" i="1" a="1"/>
  <c r="AE27" i="1" s="1"/>
  <c r="AE17" i="1" a="1"/>
  <c r="AE17" i="1" s="1"/>
  <c r="AE9" i="1" a="1"/>
  <c r="AE9" i="1" s="1"/>
  <c r="AE12" i="1" a="1"/>
  <c r="AE12" i="1" s="1"/>
  <c r="AE11" i="1" a="1"/>
  <c r="AE11" i="1" s="1"/>
  <c r="AE7" i="1" a="1"/>
  <c r="AE7" i="1" s="1"/>
  <c r="AE6" i="1" a="1"/>
  <c r="AE6" i="1" s="1"/>
  <c r="AE18" i="1" a="1"/>
  <c r="AE18" i="1" s="1"/>
  <c r="AE14" i="1" a="1"/>
  <c r="AE14" i="1" s="1"/>
  <c r="AE13" i="1" a="1"/>
  <c r="AE13" i="1" s="1"/>
  <c r="AK9" i="1" a="1"/>
  <c r="AK9" i="1" s="1"/>
  <c r="AK25" i="1" a="1"/>
  <c r="AK25" i="1" s="1"/>
  <c r="AK21" i="1" a="1"/>
  <c r="AK21" i="1" s="1"/>
  <c r="T25" i="1" a="1"/>
  <c r="T25" i="1" s="1"/>
  <c r="T11" i="1" a="1"/>
  <c r="T11" i="1" s="1"/>
  <c r="T14" i="1" a="1"/>
  <c r="T14" i="1" s="1"/>
  <c r="T13" i="1" a="1"/>
  <c r="T13" i="1" s="1"/>
  <c r="AB25" i="1" a="1"/>
  <c r="AB25" i="1" s="1"/>
  <c r="AB17" i="1" a="1"/>
  <c r="AB17" i="1" s="1"/>
  <c r="AB16" i="1" a="1"/>
  <c r="AB16" i="1" s="1"/>
  <c r="T29" i="1" a="1"/>
  <c r="T29" i="1" s="1"/>
  <c r="T22" i="1" a="1"/>
  <c r="T22" i="1" s="1"/>
  <c r="T26" i="1" a="1"/>
  <c r="T26" i="1" s="1"/>
  <c r="T12" i="1" a="1"/>
  <c r="T12" i="1" s="1"/>
  <c r="T10" i="1" a="1"/>
  <c r="T10" i="1" s="1"/>
  <c r="T8" i="1" a="1"/>
  <c r="T8" i="1" s="1"/>
  <c r="T19" i="1" a="1"/>
  <c r="T19" i="1" s="1"/>
  <c r="T18" i="1" a="1"/>
  <c r="T18" i="1" s="1"/>
  <c r="T6" i="1" a="1"/>
  <c r="T6" i="1" s="1"/>
  <c r="T9" i="1" a="1"/>
  <c r="T9" i="1" s="1"/>
  <c r="AE8" i="1" a="1"/>
  <c r="AE8" i="1" s="1"/>
  <c r="AE21" i="1" a="1"/>
  <c r="AE21" i="1" s="1"/>
  <c r="AE20" i="1" a="1"/>
  <c r="AE20" i="1" s="1"/>
  <c r="J21" i="1" a="1"/>
  <c r="J21" i="1" s="1"/>
  <c r="J24" i="1" a="1"/>
  <c r="J24" i="1" s="1"/>
  <c r="J25" i="1" a="1"/>
  <c r="J25" i="1" s="1"/>
  <c r="J12" i="1" a="1"/>
  <c r="J12" i="1" s="1"/>
  <c r="J9" i="1" a="1"/>
  <c r="J9" i="1" s="1"/>
  <c r="J8" i="1" a="1"/>
  <c r="J8" i="1" s="1"/>
  <c r="J11" i="1" a="1"/>
  <c r="J11" i="1" s="1"/>
  <c r="J27" i="1" a="1"/>
  <c r="J27" i="1" s="1"/>
  <c r="J10" i="1" a="1"/>
  <c r="J10" i="1" s="1"/>
  <c r="P21" i="1" a="1"/>
  <c r="P21" i="1" s="1"/>
  <c r="J16" i="1" a="1"/>
  <c r="J16" i="1" s="1"/>
  <c r="P28" i="1" a="1"/>
  <c r="P28" i="1" s="1"/>
  <c r="P15" i="1" a="1"/>
  <c r="P15" i="1" s="1"/>
  <c r="E27" i="1" a="1"/>
  <c r="E27" i="1" s="1"/>
  <c r="E23" i="1" a="1"/>
  <c r="E23" i="1" s="1"/>
  <c r="E17" i="1" a="1"/>
  <c r="E17" i="1" s="1"/>
  <c r="E12" i="1" a="1"/>
  <c r="E12" i="1" s="1"/>
  <c r="E7" i="1" a="1"/>
  <c r="E7" i="1" s="1"/>
  <c r="E11" i="1" a="1"/>
  <c r="E11" i="1" s="1"/>
  <c r="E28" i="1" a="1"/>
  <c r="E28" i="1" s="1"/>
  <c r="E29" i="1" a="1"/>
  <c r="E29" i="1" s="1"/>
  <c r="E19" i="1" a="1"/>
  <c r="E19" i="1" s="1"/>
  <c r="E9" i="1" a="1"/>
  <c r="E9" i="1" s="1"/>
  <c r="L23" i="1" a="1"/>
  <c r="L23" i="1" s="1"/>
  <c r="L19" i="1" a="1"/>
  <c r="L19" i="1" s="1"/>
  <c r="L28" i="1" a="1"/>
  <c r="L28" i="1" s="1"/>
  <c r="H29" i="1" a="1"/>
  <c r="H29" i="1" s="1"/>
  <c r="H17" i="1" a="1"/>
  <c r="H17" i="1" s="1"/>
  <c r="H27" i="1" a="1"/>
  <c r="H27" i="1" s="1"/>
  <c r="H28" i="1" a="1"/>
  <c r="H28" i="1" s="1"/>
  <c r="H24" i="1" a="1"/>
  <c r="H24" i="1" s="1"/>
  <c r="H16" i="1" a="1"/>
  <c r="H16" i="1" s="1"/>
  <c r="H22" i="1" a="1"/>
  <c r="H22" i="1" s="1"/>
  <c r="H19" i="1" a="1"/>
  <c r="H19" i="1" s="1"/>
  <c r="H11" i="1" a="1"/>
  <c r="H11" i="1" s="1"/>
  <c r="H10" i="1" a="1"/>
  <c r="H10" i="1" s="1"/>
  <c r="J23" i="1" a="1"/>
  <c r="J23" i="1" s="1"/>
  <c r="J19" i="1" a="1"/>
  <c r="J19" i="1" s="1"/>
  <c r="J26" i="1" a="1"/>
  <c r="J26" i="1" s="1"/>
  <c r="J18" i="1" a="1"/>
  <c r="J18" i="1" s="1"/>
  <c r="J7" i="1" a="1"/>
  <c r="J7" i="1" s="1"/>
  <c r="J22" i="1" a="1"/>
  <c r="J22" i="1" s="1"/>
  <c r="J29" i="1" a="1"/>
  <c r="J29" i="1" s="1"/>
  <c r="J6" i="1" a="1"/>
  <c r="J6" i="1" s="1"/>
  <c r="J14" i="1" a="1"/>
  <c r="J14" i="1" s="1"/>
  <c r="J13" i="1" a="1"/>
  <c r="J13" i="1" s="1"/>
  <c r="J17" i="1" a="1"/>
  <c r="J17" i="1" s="1"/>
  <c r="D28" i="1" a="1"/>
  <c r="D28" i="1" s="1"/>
  <c r="D16" i="1" a="1"/>
  <c r="D16" i="1" s="1"/>
  <c r="L25" i="1" a="1"/>
  <c r="L25" i="1" s="1"/>
  <c r="D21" i="1" a="1"/>
  <c r="D21" i="1" s="1"/>
  <c r="L11" i="1" a="1"/>
  <c r="L11" i="1" s="1"/>
  <c r="L18" i="1" a="1"/>
  <c r="L18" i="1" s="1"/>
  <c r="D8" i="1" a="1"/>
  <c r="D8" i="1" s="1"/>
  <c r="L8" i="1" a="1"/>
  <c r="L8" i="1" s="1"/>
  <c r="L22" i="1" a="1"/>
  <c r="L22" i="1" s="1"/>
  <c r="L15" i="1" a="1"/>
  <c r="L15" i="1" s="1"/>
  <c r="L20" i="1" a="1"/>
  <c r="L20" i="1" s="1"/>
  <c r="L10" i="1" a="1"/>
  <c r="L10" i="1" s="1"/>
  <c r="L27" i="1" a="1"/>
  <c r="L27" i="1" s="1"/>
  <c r="D18" i="1" a="1"/>
  <c r="D18" i="1" s="1"/>
  <c r="D26" i="1" a="1"/>
  <c r="D26" i="1" s="1"/>
  <c r="D19" i="1" a="1"/>
  <c r="D19" i="1" s="1"/>
  <c r="L12" i="1" a="1"/>
  <c r="L12" i="1" s="1"/>
  <c r="D29" i="1" a="1"/>
  <c r="D29" i="1" s="1"/>
  <c r="D12" i="1" a="1"/>
  <c r="D12" i="1" s="1"/>
  <c r="D15" i="1" a="1"/>
  <c r="D15" i="1" s="1"/>
  <c r="AF9" i="1" a="1"/>
  <c r="AF9" i="1" s="1"/>
  <c r="AF16" i="1" a="1"/>
  <c r="AF16" i="1" s="1"/>
  <c r="AF7" i="1" a="1"/>
  <c r="AF7" i="1" s="1"/>
  <c r="AF14" i="1" a="1"/>
  <c r="AF14" i="1" s="1"/>
  <c r="AF13" i="1" a="1"/>
  <c r="AF13" i="1" s="1"/>
  <c r="AF19" i="1" a="1"/>
  <c r="AF19" i="1" s="1"/>
  <c r="AF26" i="1" a="1"/>
  <c r="AF26" i="1" s="1"/>
  <c r="AF10" i="1" a="1"/>
  <c r="AF10" i="1" s="1"/>
  <c r="AF12" i="1" a="1"/>
  <c r="AF12" i="1" s="1"/>
  <c r="AF23" i="1" a="1"/>
  <c r="AF23" i="1" s="1"/>
  <c r="AF15" i="1" a="1"/>
  <c r="AF15" i="1" s="1"/>
  <c r="D17" i="1" a="1"/>
  <c r="D17" i="1" s="1"/>
  <c r="D27" i="1" a="1"/>
  <c r="D27" i="1" s="1"/>
  <c r="D10" i="1" a="1"/>
  <c r="D10" i="1" s="1"/>
  <c r="D11" i="1" a="1"/>
  <c r="D11" i="1" s="1"/>
  <c r="D24" i="1" a="1"/>
  <c r="D24" i="1" s="1"/>
  <c r="D14" i="1" a="1"/>
  <c r="D14" i="1" s="1"/>
  <c r="D13" i="1" a="1"/>
  <c r="D13" i="1" s="1"/>
  <c r="D25" i="1" a="1"/>
  <c r="D25" i="1" s="1"/>
  <c r="D7" i="1" a="1"/>
  <c r="D7" i="1" s="1"/>
  <c r="D6" i="1" a="1"/>
  <c r="D6" i="1" s="1"/>
  <c r="D20" i="1" a="1"/>
  <c r="D20" i="1" s="1"/>
  <c r="AL10" i="1" a="1"/>
  <c r="AL10" i="1" s="1"/>
  <c r="AL15" i="1" a="1"/>
  <c r="AL15" i="1" s="1"/>
  <c r="AL25" i="1" a="1"/>
  <c r="AL25" i="1" s="1"/>
  <c r="AL23" i="1" a="1"/>
  <c r="AL23" i="1" s="1"/>
  <c r="AL19" i="1" a="1"/>
  <c r="AL19" i="1" s="1"/>
  <c r="AL8" i="1" a="1"/>
  <c r="AL8" i="1" s="1"/>
  <c r="AL18" i="1" a="1"/>
  <c r="AL18" i="1" s="1"/>
  <c r="AL21" i="1" a="1"/>
  <c r="AL21" i="1" s="1"/>
  <c r="AL7" i="1" a="1"/>
  <c r="AL7" i="1" s="1"/>
  <c r="AL22" i="1" a="1"/>
  <c r="AL22" i="1" s="1"/>
  <c r="AI10" i="1" a="1"/>
  <c r="AI10" i="1" s="1"/>
  <c r="AI28" i="1" a="1"/>
  <c r="AI28" i="1" s="1"/>
  <c r="AI29" i="1" a="1"/>
  <c r="AI29" i="1" s="1"/>
  <c r="AI19" i="1" a="1"/>
  <c r="AI19" i="1" s="1"/>
  <c r="AI20" i="1" a="1"/>
  <c r="AI20" i="1" s="1"/>
  <c r="AI12" i="1" a="1"/>
  <c r="AI12" i="1" s="1"/>
  <c r="AI15" i="1" a="1"/>
  <c r="AI15" i="1" s="1"/>
  <c r="AI25" i="1" a="1"/>
  <c r="AI25" i="1" s="1"/>
  <c r="AI16" i="1" a="1"/>
  <c r="AI16" i="1" s="1"/>
  <c r="AI23" i="1" a="1"/>
  <c r="AI23" i="1" s="1"/>
  <c r="AF28" i="1" a="1"/>
  <c r="AF28" i="1" s="1"/>
  <c r="AF24" i="1" a="1"/>
  <c r="AF24" i="1" s="1"/>
  <c r="AF17" i="1" a="1"/>
  <c r="AF17" i="1" s="1"/>
  <c r="AF29" i="1" a="1"/>
  <c r="AF29" i="1" s="1"/>
  <c r="AF21" i="1" a="1"/>
  <c r="AF21" i="1" s="1"/>
  <c r="AF20" i="1" a="1"/>
  <c r="AF20" i="1" s="1"/>
  <c r="AF18" i="1" a="1"/>
  <c r="AF18" i="1" s="1"/>
  <c r="AF25" i="1" a="1"/>
  <c r="AF25" i="1" s="1"/>
  <c r="AF22" i="1" a="1"/>
  <c r="AF22" i="1" s="1"/>
  <c r="AF27" i="1" a="1"/>
  <c r="AF27" i="1" s="1"/>
  <c r="AI27" i="1" a="1"/>
  <c r="AI27" i="1" s="1"/>
  <c r="AI22" i="1" a="1"/>
  <c r="AI22" i="1" s="1"/>
  <c r="AI8" i="1" a="1"/>
  <c r="AI8" i="1" s="1"/>
  <c r="AI14" i="1" a="1"/>
  <c r="AI14" i="1" s="1"/>
  <c r="AI13" i="1" a="1"/>
  <c r="AI13" i="1" s="1"/>
  <c r="AI21" i="1" a="1"/>
  <c r="AI21" i="1" s="1"/>
  <c r="AI17" i="1" a="1"/>
  <c r="AI17" i="1" s="1"/>
  <c r="AI26" i="1" a="1"/>
  <c r="AI26" i="1" s="1"/>
  <c r="AI18" i="1" a="1"/>
  <c r="AI18" i="1" s="1"/>
  <c r="AI24" i="1" a="1"/>
  <c r="AI24" i="1" s="1"/>
  <c r="AI7" i="1" a="1"/>
  <c r="AI7" i="1" s="1"/>
  <c r="M22" i="1" a="1"/>
  <c r="M22" i="1" s="1"/>
  <c r="M10" i="1" a="1"/>
  <c r="M10" i="1" s="1"/>
  <c r="M18" i="1" a="1"/>
  <c r="M18" i="1" s="1"/>
  <c r="M28" i="1" a="1"/>
  <c r="M28" i="1" s="1"/>
  <c r="M7" i="1" a="1"/>
  <c r="M7" i="1" s="1"/>
  <c r="M26" i="1" a="1"/>
  <c r="M26" i="1" s="1"/>
  <c r="M29" i="1" a="1"/>
  <c r="M29" i="1" s="1"/>
  <c r="M12" i="1" a="1"/>
  <c r="M12" i="1" s="1"/>
  <c r="M19" i="1" a="1"/>
  <c r="M19" i="1" s="1"/>
  <c r="M16" i="1" a="1"/>
  <c r="M16" i="1" s="1"/>
  <c r="L9" i="1" a="1"/>
  <c r="L9" i="1" s="1"/>
  <c r="L14" i="1" a="1"/>
  <c r="L14" i="1" s="1"/>
  <c r="L13" i="1" a="1"/>
  <c r="L13" i="1" s="1"/>
  <c r="L7" i="1" a="1"/>
  <c r="L7" i="1" s="1"/>
  <c r="L17" i="1" a="1"/>
  <c r="L17" i="1" s="1"/>
  <c r="L21" i="1" a="1"/>
  <c r="L21" i="1" s="1"/>
  <c r="L24" i="1" a="1"/>
  <c r="L24" i="1" s="1"/>
  <c r="L26" i="1" a="1"/>
  <c r="L26" i="1" s="1"/>
  <c r="L29" i="1" a="1"/>
  <c r="L29" i="1" s="1"/>
  <c r="L16" i="1" a="1"/>
  <c r="L16" i="1" s="1"/>
  <c r="L6" i="1" a="1"/>
  <c r="L6" i="1" s="1"/>
  <c r="G11" i="1" a="1"/>
  <c r="G11" i="1" s="1"/>
  <c r="G23" i="1" a="1"/>
  <c r="G23" i="1" s="1"/>
  <c r="G16" i="1" a="1"/>
  <c r="G16" i="1" s="1"/>
  <c r="G21" i="1" a="1"/>
  <c r="G21" i="1" s="1"/>
  <c r="G17" i="1" a="1"/>
  <c r="G17" i="1" s="1"/>
  <c r="G6" i="1" a="1"/>
  <c r="G6" i="1" s="1"/>
  <c r="G8" i="1" a="1"/>
  <c r="G8" i="1" s="1"/>
  <c r="G15" i="1" a="1"/>
  <c r="G15" i="1" s="1"/>
  <c r="G14" i="1" a="1"/>
  <c r="G14" i="1" s="1"/>
  <c r="G13" i="1" a="1"/>
  <c r="G13" i="1" s="1"/>
  <c r="G26" i="1" a="1"/>
  <c r="G26" i="1" s="1"/>
  <c r="AA7" i="1" a="1"/>
  <c r="AA7" i="1" s="1"/>
  <c r="AA9" i="1" a="1"/>
  <c r="AA9" i="1" s="1"/>
  <c r="AA27" i="1" a="1"/>
  <c r="AA27" i="1" s="1"/>
  <c r="AA25" i="1" a="1"/>
  <c r="AA25" i="1" s="1"/>
  <c r="AA10" i="1" a="1"/>
  <c r="AA10" i="1" s="1"/>
  <c r="AA16" i="1" a="1"/>
  <c r="AA16" i="1" s="1"/>
  <c r="AA12" i="1" a="1"/>
  <c r="AA12" i="1" s="1"/>
  <c r="AA23" i="1" a="1"/>
  <c r="AA23" i="1" s="1"/>
  <c r="AA17" i="1" a="1"/>
  <c r="AA17" i="1" s="1"/>
  <c r="AA18" i="1" a="1"/>
  <c r="AA18" i="1" s="1"/>
  <c r="M27" i="1" a="1"/>
  <c r="M27" i="1" s="1"/>
  <c r="M6" i="1" a="1"/>
  <c r="M6" i="1" s="1"/>
  <c r="M8" i="1" a="1"/>
  <c r="M8" i="1" s="1"/>
  <c r="M15" i="1" a="1"/>
  <c r="M15" i="1" s="1"/>
  <c r="M23" i="1" a="1"/>
  <c r="M23" i="1" s="1"/>
  <c r="M24" i="1" a="1"/>
  <c r="M24" i="1" s="1"/>
  <c r="M11" i="1" a="1"/>
  <c r="M11" i="1" s="1"/>
  <c r="M17" i="1" a="1"/>
  <c r="M17" i="1" s="1"/>
  <c r="M20" i="1" a="1"/>
  <c r="M20" i="1" s="1"/>
  <c r="M25" i="1" a="1"/>
  <c r="M25" i="1" s="1"/>
  <c r="G18" i="1" a="1"/>
  <c r="G18" i="1" s="1"/>
  <c r="G9" i="1" a="1"/>
  <c r="G9" i="1" s="1"/>
  <c r="AL12" i="1" a="1"/>
  <c r="AL12" i="1" s="1"/>
  <c r="AL28" i="1" a="1"/>
  <c r="AL28" i="1" s="1"/>
  <c r="G19" i="1" a="1"/>
  <c r="G19" i="1" s="1"/>
  <c r="G22" i="1" a="1"/>
  <c r="G22" i="1" s="1"/>
  <c r="AL6" i="1" a="1"/>
  <c r="AL6" i="1" s="1"/>
  <c r="G12" i="1" a="1"/>
  <c r="G12" i="1" s="1"/>
  <c r="AL26" i="1" a="1"/>
  <c r="AL26" i="1" s="1"/>
  <c r="AL9" i="1" a="1"/>
  <c r="AL9" i="1" s="1"/>
  <c r="G29" i="1" a="1"/>
  <c r="G29" i="1" s="1"/>
  <c r="AL29" i="1" a="1"/>
  <c r="AL29" i="1" s="1"/>
  <c r="AL27" i="1" a="1"/>
  <c r="AL27" i="1" s="1"/>
  <c r="G7" i="1" a="1"/>
  <c r="G7" i="1" s="1"/>
  <c r="AL11" i="1" a="1"/>
  <c r="AL11" i="1" s="1"/>
  <c r="G25" i="1" a="1"/>
  <c r="G25" i="1" s="1"/>
  <c r="AL17" i="1" a="1"/>
  <c r="AL17" i="1" s="1"/>
  <c r="G10" i="1" a="1"/>
  <c r="G10" i="1" s="1"/>
  <c r="G28" i="1" a="1"/>
  <c r="G28" i="1" s="1"/>
  <c r="AL14" i="1" a="1"/>
  <c r="AL14" i="1" s="1"/>
  <c r="AL13" i="1" a="1"/>
  <c r="AL13" i="1" s="1"/>
  <c r="AA19" i="1" a="1"/>
  <c r="AA19" i="1" s="1"/>
  <c r="AA22" i="1" a="1"/>
  <c r="AA22" i="1" s="1"/>
  <c r="AA6" i="1" a="1"/>
  <c r="AA6" i="1" s="1"/>
  <c r="AA26" i="1" a="1"/>
  <c r="AA26" i="1" s="1"/>
  <c r="AA15" i="1" a="1"/>
  <c r="AA15" i="1" s="1"/>
  <c r="AA20" i="1" a="1"/>
  <c r="AA20" i="1" s="1"/>
  <c r="AA28" i="1" a="1"/>
  <c r="AA28" i="1" s="1"/>
  <c r="AA14" i="1" a="1"/>
  <c r="AA14" i="1" s="1"/>
  <c r="AA13" i="1" a="1"/>
  <c r="AA13" i="1" s="1"/>
  <c r="AA29" i="1" a="1"/>
  <c r="AA29" i="1" s="1"/>
  <c r="AA8" i="1" a="1"/>
  <c r="AA8" i="1" s="1"/>
  <c r="H7" i="1" a="1"/>
  <c r="H7" i="1" s="1"/>
  <c r="H18" i="1" a="1"/>
  <c r="H18" i="1" s="1"/>
  <c r="H26" i="1" a="1"/>
  <c r="H26" i="1" s="1"/>
  <c r="E21" i="1" a="1"/>
  <c r="E21" i="1" s="1"/>
  <c r="E14" i="1" a="1"/>
  <c r="E14" i="1" s="1"/>
  <c r="E13" i="1" a="1"/>
  <c r="E13" i="1" s="1"/>
  <c r="E6" i="1" a="1"/>
  <c r="E6" i="1" s="1"/>
  <c r="E8" i="1" a="1"/>
  <c r="E8" i="1" s="1"/>
  <c r="H15" i="1" a="1"/>
  <c r="H15" i="1" s="1"/>
  <c r="H6" i="1" a="1"/>
  <c r="H6" i="1" s="1"/>
  <c r="E15" i="1" a="1"/>
  <c r="E15" i="1" s="1"/>
  <c r="H20" i="1" a="1"/>
  <c r="H20" i="1" s="1"/>
  <c r="E25" i="1" a="1"/>
  <c r="E25" i="1" s="1"/>
  <c r="E24" i="1" a="1"/>
  <c r="E24" i="1" s="1"/>
  <c r="H9" i="1" a="1"/>
  <c r="H9" i="1" s="1"/>
  <c r="H8" i="1" a="1"/>
  <c r="H8" i="1" s="1"/>
  <c r="H21" i="1" a="1"/>
  <c r="H21" i="1" s="1"/>
  <c r="E26" i="1" a="1"/>
  <c r="E26" i="1" s="1"/>
  <c r="H14" i="1" a="1"/>
  <c r="H14" i="1" s="1"/>
  <c r="H13" i="1" a="1"/>
  <c r="H13" i="1" s="1"/>
  <c r="E22" i="1" a="1"/>
  <c r="E22" i="1" s="1"/>
  <c r="E16" i="1" a="1"/>
  <c r="E16" i="1" s="1"/>
  <c r="AL16" i="1" a="1"/>
  <c r="AL16" i="1" s="1"/>
  <c r="AL20" i="1" a="1"/>
  <c r="AL20" i="1" s="1"/>
  <c r="AL24" i="1" a="1"/>
  <c r="AL24" i="1" s="1"/>
  <c r="M21" i="1" a="1"/>
  <c r="M21" i="1" s="1"/>
  <c r="M14" i="1" a="1"/>
  <c r="M14" i="1" s="1"/>
  <c r="M13" i="1" a="1"/>
  <c r="M13" i="1" s="1"/>
  <c r="M9" i="1" a="1"/>
  <c r="M9" i="1" s="1"/>
  <c r="J20" i="1" a="1"/>
  <c r="J20" i="1" s="1"/>
  <c r="J28" i="1" a="1"/>
  <c r="J28" i="1" s="1"/>
  <c r="J15" i="1" a="1"/>
  <c r="J15" i="1" s="1"/>
  <c r="E10" i="1" a="1"/>
  <c r="E10" i="1" s="1"/>
  <c r="E20" i="1" a="1"/>
  <c r="E20" i="1" s="1"/>
  <c r="E18" i="1" a="1"/>
  <c r="E18" i="1" s="1"/>
  <c r="AI9" i="1" a="1"/>
  <c r="AI9" i="1" s="1"/>
  <c r="AI11" i="1" a="1"/>
  <c r="AI11" i="1" s="1"/>
  <c r="AI6" i="1" a="1"/>
  <c r="AI6" i="1" s="1"/>
  <c r="G24" i="1" a="1"/>
  <c r="G24" i="1" s="1"/>
  <c r="G27" i="1" a="1"/>
  <c r="G27" i="1" s="1"/>
  <c r="G20" i="1" a="1"/>
  <c r="G20" i="1" s="1"/>
  <c r="H23" i="1" a="1"/>
  <c r="H23" i="1" s="1"/>
  <c r="H12" i="1" a="1"/>
  <c r="H12" i="1" s="1"/>
  <c r="H25" i="1" a="1"/>
  <c r="H25" i="1" s="1"/>
  <c r="AF8" i="1" a="1"/>
  <c r="AF8" i="1" s="1"/>
  <c r="AF6" i="1" a="1"/>
  <c r="AF6" i="1" s="1"/>
  <c r="AF11" i="1" a="1"/>
  <c r="AF11" i="1" s="1"/>
  <c r="D22" i="1" a="1"/>
  <c r="D22" i="1" s="1"/>
  <c r="D9" i="1" a="1"/>
  <c r="D9" i="1" s="1"/>
  <c r="D23" i="1" a="1"/>
  <c r="D23" i="1" s="1"/>
  <c r="AA21" i="1" a="1"/>
  <c r="AA21" i="1" s="1"/>
  <c r="AA24" i="1" a="1"/>
  <c r="AA24" i="1" s="1"/>
  <c r="AA11" i="1" a="1"/>
  <c r="AA11" i="1" s="1"/>
  <c r="E5" i="1" a="1"/>
  <c r="E5" i="1" s="1"/>
  <c r="F5" i="1" a="1"/>
  <c r="F5" i="1" s="1"/>
  <c r="G5" i="1" a="1"/>
  <c r="G5" i="1" s="1"/>
  <c r="H5" i="1" a="1"/>
  <c r="H5" i="1" s="1"/>
  <c r="I5" i="1" a="1"/>
  <c r="I5" i="1" s="1"/>
  <c r="J5" i="1" a="1"/>
  <c r="J5" i="1" s="1"/>
  <c r="K5" i="1" a="1"/>
  <c r="K5" i="1" s="1"/>
  <c r="L5" i="1" a="1"/>
  <c r="L5" i="1" s="1"/>
  <c r="M5" i="1" a="1"/>
  <c r="M5" i="1" s="1"/>
  <c r="N5" i="1" a="1"/>
  <c r="N5" i="1" s="1"/>
  <c r="O5" i="1" a="1"/>
  <c r="O5" i="1" s="1"/>
  <c r="P5" i="1" a="1"/>
  <c r="P5" i="1" s="1"/>
  <c r="Q5" i="1" a="1"/>
  <c r="Q5" i="1" s="1"/>
  <c r="R5" i="1" a="1"/>
  <c r="R5" i="1" s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Y5" i="1" a="1"/>
  <c r="Y5" i="1" s="1"/>
  <c r="Z5" i="1" a="1"/>
  <c r="Z5" i="1" s="1"/>
  <c r="AA5" i="1" a="1"/>
  <c r="AA5" i="1" s="1"/>
  <c r="AB5" i="1" a="1"/>
  <c r="AB5" i="1" s="1"/>
  <c r="AC5" i="1" a="1"/>
  <c r="AC5" i="1" s="1"/>
  <c r="AD5" i="1" a="1"/>
  <c r="AD5" i="1" s="1"/>
  <c r="AE5" i="1" a="1"/>
  <c r="AE5" i="1" s="1"/>
  <c r="AF5" i="1" a="1"/>
  <c r="AF5" i="1" s="1"/>
  <c r="AG5" i="1" a="1"/>
  <c r="AG5" i="1" s="1"/>
  <c r="AH5" i="1" a="1"/>
  <c r="AH5" i="1" s="1"/>
  <c r="AI5" i="1" a="1"/>
  <c r="AI5" i="1" s="1"/>
  <c r="AJ5" i="1" a="1"/>
  <c r="AJ5" i="1" s="1"/>
  <c r="AK5" i="1" a="1"/>
  <c r="AK5" i="1" s="1"/>
  <c r="AL5" i="1" a="1"/>
  <c r="AL5" i="1" s="1"/>
  <c r="AM5" i="1" a="1"/>
  <c r="AM5" i="1" s="1"/>
  <c r="D5" i="1" a="1"/>
  <c r="D5" i="1" s="1"/>
  <c r="C5" i="1" a="1"/>
  <c r="C5" i="1" s="1"/>
  <c r="B8" i="1" a="1"/>
  <c r="B8" i="1" s="1"/>
  <c r="B24" i="1" a="1"/>
  <c r="B24" i="1" s="1"/>
  <c r="B22" i="1" a="1"/>
  <c r="B22" i="1" s="1"/>
  <c r="B17" i="1" a="1"/>
  <c r="B17" i="1" s="1"/>
  <c r="B16" i="1" a="1"/>
  <c r="B16" i="1" s="1"/>
  <c r="B18" i="1" a="1"/>
  <c r="B18" i="1" s="1"/>
  <c r="B10" i="1" a="1"/>
  <c r="B10" i="1" s="1"/>
  <c r="B29" i="1" a="1"/>
  <c r="B29" i="1" s="1"/>
  <c r="B25" i="1" a="1"/>
  <c r="B25" i="1" s="1"/>
  <c r="B11" i="1" a="1"/>
  <c r="B11" i="1" s="1"/>
  <c r="B26" i="1" a="1"/>
  <c r="B26" i="1" s="1"/>
  <c r="B19" i="1" a="1"/>
  <c r="B19" i="1" s="1"/>
  <c r="B20" i="1" a="1"/>
  <c r="B20" i="1" s="1"/>
  <c r="B21" i="1" a="1"/>
  <c r="B21" i="1" s="1"/>
  <c r="B28" i="1" a="1"/>
  <c r="B28" i="1" s="1"/>
  <c r="B15" i="1" a="1"/>
  <c r="B15" i="1" s="1"/>
  <c r="B7" i="1" a="1"/>
  <c r="B7" i="1" s="1"/>
  <c r="B23" i="1" a="1"/>
  <c r="B23" i="1" s="1"/>
  <c r="B27" i="1" a="1"/>
  <c r="B27" i="1" s="1"/>
  <c r="B14" i="1" a="1"/>
  <c r="B14" i="1" s="1"/>
  <c r="B13" i="1" a="1"/>
  <c r="B13" i="1" s="1"/>
  <c r="B12" i="1" a="1"/>
  <c r="B12" i="1" s="1"/>
  <c r="B6" i="1" a="1"/>
  <c r="B6" i="1" s="1"/>
  <c r="B9" i="1" a="1"/>
  <c r="B9" i="1" s="1"/>
  <c r="B5" i="1" a="1"/>
  <c r="B5" i="1" s="1"/>
  <c r="R2" i="1" a="1"/>
  <c r="R2" i="1" s="1"/>
  <c r="AF2" i="1" a="1"/>
  <c r="AF2" i="1" s="1"/>
  <c r="H2" i="1" a="1"/>
  <c r="H2" i="1" s="1"/>
  <c r="AL2" i="1" a="1"/>
  <c r="AL2" i="1" s="1"/>
  <c r="M2" i="1" a="1"/>
  <c r="M2" i="1" s="1"/>
  <c r="AE2" i="1" a="1"/>
  <c r="AE2" i="1" s="1"/>
  <c r="N2" i="1" a="1"/>
  <c r="N2" i="1" s="1"/>
  <c r="J2" i="1" a="1"/>
  <c r="J2" i="1" s="1"/>
  <c r="AG2" i="1" a="1"/>
  <c r="AG2" i="1" s="1"/>
  <c r="F2" i="1" a="1"/>
  <c r="F2" i="1" s="1"/>
  <c r="W2" i="1" a="1"/>
  <c r="W2" i="1" s="1"/>
  <c r="Y2" i="1" a="1"/>
  <c r="Y2" i="1" s="1"/>
  <c r="AA2" i="1" a="1"/>
  <c r="AA2" i="1" s="1"/>
  <c r="Z2" i="1" a="1"/>
  <c r="Z2" i="1" s="1"/>
  <c r="AM2" i="1" a="1"/>
  <c r="AM2" i="1" s="1"/>
  <c r="X2" i="1" a="1"/>
  <c r="X2" i="1" s="1"/>
  <c r="Q2" i="1" a="1"/>
  <c r="Q2" i="1" s="1"/>
  <c r="L2" i="1" a="1"/>
  <c r="L2" i="1" s="1"/>
  <c r="T2" i="1" a="1"/>
  <c r="T2" i="1" s="1"/>
  <c r="AI2" i="1" a="1"/>
  <c r="AI2" i="1" s="1"/>
  <c r="I2" i="1" a="1"/>
  <c r="I2" i="1" s="1"/>
  <c r="P2" i="1" a="1"/>
  <c r="P2" i="1" s="1"/>
  <c r="AK2" i="1" a="1"/>
  <c r="AK2" i="1" s="1"/>
  <c r="AD2" i="1" a="1"/>
  <c r="AD2" i="1" s="1"/>
  <c r="AJ2" i="1" a="1"/>
  <c r="AJ2" i="1" s="1"/>
  <c r="O2" i="1" a="1"/>
  <c r="O2" i="1" s="1"/>
  <c r="V2" i="1" a="1"/>
  <c r="V2" i="1" s="1"/>
  <c r="K2" i="1" a="1"/>
  <c r="K2" i="1" s="1"/>
  <c r="U2" i="1" a="1"/>
  <c r="U2" i="1" s="1"/>
  <c r="G2" i="1" a="1"/>
  <c r="G2" i="1" s="1"/>
  <c r="AB2" i="1" a="1"/>
  <c r="AB2" i="1" s="1"/>
  <c r="AC2" i="1" a="1"/>
  <c r="AC2" i="1" s="1"/>
  <c r="S2" i="1" a="1"/>
  <c r="S2" i="1" s="1"/>
  <c r="E2" i="1" a="1"/>
  <c r="E2" i="1" s="1"/>
  <c r="AH2" i="1" a="1"/>
  <c r="AH2" i="1" s="1"/>
  <c r="C2" i="1" a="1"/>
  <c r="C2" i="1" s="1"/>
  <c r="D2" i="1" a="1"/>
  <c r="D2" i="1" s="1"/>
  <c r="B2" i="1" a="1"/>
  <c r="B2" i="1" s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C4" i="1"/>
  <c r="D4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<sst xmlns="http://schemas.openxmlformats.org/spreadsheetml/2006/main" count="106" uniqueCount="68">
  <si>
    <t>Index</t>
  </si>
  <si>
    <t>SPX Index</t>
  </si>
  <si>
    <t>MXEF Index</t>
  </si>
  <si>
    <t>Period</t>
  </si>
  <si>
    <t>Daily 1 Year</t>
  </si>
  <si>
    <t>Weekly 3 Year</t>
  </si>
  <si>
    <t>Monthly 5 Year</t>
  </si>
  <si>
    <t>RTY Index</t>
  </si>
  <si>
    <t>MXEA Index</t>
  </si>
  <si>
    <t>MID Index</t>
  </si>
  <si>
    <t>NDX Index</t>
  </si>
  <si>
    <t>RLV Index</t>
  </si>
  <si>
    <t>RLG Index</t>
  </si>
  <si>
    <t>MXWO Index</t>
  </si>
  <si>
    <t>USGG2YR Index</t>
  </si>
  <si>
    <t>USGG10YR Index</t>
  </si>
  <si>
    <t>LUATTRUU Index</t>
  </si>
  <si>
    <t>LUACTRUU Index</t>
  </si>
  <si>
    <t>LF98TRUU Index</t>
  </si>
  <si>
    <t>JPEIDIV Index</t>
  </si>
  <si>
    <t>LBUTTRUU Index</t>
  </si>
  <si>
    <t>USGG10YR - USGG2YR</t>
  </si>
  <si>
    <t>CL1 Comdty</t>
  </si>
  <si>
    <t>CO1 Comdty</t>
  </si>
  <si>
    <t>XAU Curncy</t>
  </si>
  <si>
    <t>HG1 Comdty</t>
  </si>
  <si>
    <t>BCOM Index</t>
  </si>
  <si>
    <t>BCOMAG Index</t>
  </si>
  <si>
    <t>DXY Curncy</t>
  </si>
  <si>
    <t>EURUSD Curncy</t>
  </si>
  <si>
    <t>USDJPY Curncy</t>
  </si>
  <si>
    <t>GBPUSD Curncy</t>
  </si>
  <si>
    <t>USDCNY Curncy</t>
  </si>
  <si>
    <t>JPEMXUS Index</t>
  </si>
  <si>
    <t>XBTUSD Curncy</t>
  </si>
  <si>
    <t>ETHUSD Curncy</t>
  </si>
  <si>
    <t>BITW Index</t>
  </si>
  <si>
    <t>RMZ Index</t>
  </si>
  <si>
    <t>IFRA US Equity</t>
  </si>
  <si>
    <t>RUGL Index</t>
  </si>
  <si>
    <t>Name</t>
  </si>
  <si>
    <t>LGTRTRUU Index</t>
  </si>
  <si>
    <t>AAXJ US Equity</t>
  </si>
  <si>
    <t>ACWI US Equity</t>
  </si>
  <si>
    <t>ADPV US Equity</t>
  </si>
  <si>
    <t>AGG US Equity</t>
  </si>
  <si>
    <t>AIA US Equity</t>
  </si>
  <si>
    <t>B3000VT Index</t>
  </si>
  <si>
    <t>B400TR Index</t>
  </si>
  <si>
    <t>B500 Index</t>
  </si>
  <si>
    <t>B500DT Index</t>
  </si>
  <si>
    <t>B500EQT Index</t>
  </si>
  <si>
    <t>B500GT Index</t>
  </si>
  <si>
    <t>GSSBDDEF Index</t>
  </si>
  <si>
    <t>GSPUERNY Index</t>
  </si>
  <si>
    <t>GSCBHKBM Index</t>
  </si>
  <si>
    <t>GSXUBFTL Index</t>
  </si>
  <si>
    <t>GSXUWFGS Index</t>
  </si>
  <si>
    <t>GSSBOPEX Index</t>
  </si>
  <si>
    <t>GSTMTSFT Index</t>
  </si>
  <si>
    <t>GSSIDIST Index</t>
  </si>
  <si>
    <t>GSSICMEQ Index</t>
  </si>
  <si>
    <t>GSFINCRB Index</t>
  </si>
  <si>
    <t>GSXABIOT Index</t>
  </si>
  <si>
    <t>GSFIBFVL Index</t>
  </si>
  <si>
    <t>GSCMRYAH Index</t>
  </si>
  <si>
    <t>US Index</t>
  </si>
  <si>
    <t>DS366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</si>
</sst>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BDP|10724910539573034369</stp>
        <tr r="X16" s="1"/>
      </tp>
      <tp t="s">
        <v>#N/A N/A</v>
        <stp/>
        <stp>BDP|13685058781139955828</stp>
        <tr r="AK27" s="1"/>
      </tp>
      <tp t="s">
        <v>#N/A N/A</v>
        <stp/>
        <stp>BDP|11754525398004098361</stp>
        <tr r="AK15" s="1"/>
      </tp>
      <tp t="s">
        <v>#N/A N/A</v>
        <stp/>
        <stp>BDP|17546794606208093205</stp>
        <tr r="P7" s="1"/>
      </tp>
      <tp t="s">
        <v>#N/A N/A</v>
        <stp/>
        <stp>BDP|12839947830486725479</stp>
        <tr r="D10" s="1"/>
      </tp>
      <tp t="s">
        <v>#N/A N/A</v>
        <stp/>
        <stp>BDP|10778628833877372899</stp>
        <tr r="J29" s="1"/>
      </tp>
      <tp t="s">
        <v>#N/A N/A</v>
        <stp/>
        <stp>BDP|15065539296653167088</stp>
        <tr r="Y22" s="1"/>
      </tp>
      <tp t="s">
        <v>#N/A N/A</v>
        <stp/>
        <stp>BDP|17547298503956789979</stp>
        <tr r="L28" s="1"/>
      </tp>
      <tp t="s">
        <v>#N/A N/A</v>
        <stp/>
        <stp>BDP|17687915825782513496</stp>
        <tr r="P15" s="1"/>
      </tp>
      <tp t="s">
        <v>#N/A N/A</v>
        <stp/>
        <stp>BDP|10656488088815418329</stp>
        <tr r="AI28" s="1"/>
      </tp>
      <tp t="s">
        <v>#N/A N/A</v>
        <stp/>
        <stp>BDP|17501938863987039550</stp>
        <tr r="AD8" s="1"/>
      </tp>
      <tp t="s">
        <v>#N/A N/A</v>
        <stp/>
        <stp>BDP|18217375103973396255</stp>
        <tr r="AH2" s="1"/>
      </tp>
      <tp t="s">
        <v>#N/A N/A</v>
        <stp/>
        <stp>BDP|15975899848006998527</stp>
        <tr r="I16" s="1"/>
      </tp>
      <tp t="s">
        <v>#N/A N/A</v>
        <stp/>
        <stp>BDP|12004936013103093339</stp>
        <tr r="D24" s="1"/>
      </tp>
      <tp t="s">
        <v>#N/A N/A</v>
        <stp/>
        <stp>BDP|17771770431129326003</stp>
        <tr r="AF8" s="1"/>
      </tp>
      <tp t="s">
        <v>#N/A N/A</v>
        <stp/>
        <stp>BDP|10248981974840953422</stp>
        <tr r="N29" s="1"/>
      </tp>
      <tp t="s">
        <v>#N/A N/A</v>
        <stp/>
        <stp>BDP|17956613043217879864</stp>
        <tr r="M21" s="1"/>
      </tp>
      <tp t="s">
        <v>#N/A N/A</v>
        <stp/>
        <stp>BDP|13508259175615223936</stp>
        <tr r="T17" s="1"/>
      </tp>
      <tp t="s">
        <v>#N/A N/A</v>
        <stp/>
        <stp>BDP|15532642190841478111</stp>
        <tr r="H5" s="1"/>
      </tp>
      <tp t="s">
        <v>#N/A N/A</v>
        <stp/>
        <stp>BDP|13607365874788553554</stp>
        <tr r="AA26" s="1"/>
      </tp>
      <tp t="s">
        <v>#N/A N/A</v>
        <stp/>
        <stp>BDP|16442985626027955049</stp>
        <tr r="J15" s="1"/>
      </tp>
      <tp t="s">
        <v>#N/A N/A</v>
        <stp/>
        <stp>BDP|12810512685530827537</stp>
        <tr r="X27" s="1"/>
      </tp>
      <tp t="s">
        <v>#N/A N/A</v>
        <stp/>
        <stp>BDP|10976229515721192894</stp>
        <tr r="AG2" s="1"/>
      </tp>
      <tp t="s">
        <v>#N/A N/A</v>
        <stp/>
        <stp>BDP|17399703093696044493</stp>
        <tr r="AL20" s="1"/>
      </tp>
      <tp t="s">
        <v>#N/A N/A</v>
        <stp/>
        <stp>BDP|15453341380245896012</stp>
        <tr r="AK24" s="1"/>
      </tp>
      <tp t="s">
        <v>#N/A N/A</v>
        <stp/>
        <stp>BDP|11876950760993599609</stp>
        <tr r="Z15" s="1"/>
      </tp>
      <tp t="s">
        <v>#N/A N/A</v>
        <stp/>
        <stp>BDP|11381590274200492821</stp>
        <tr r="AJ18" s="1"/>
      </tp>
      <tp t="s">
        <v>#N/A N/A</v>
        <stp/>
        <stp>BDP|12048909716093604289</stp>
        <tr r="AB20" s="1"/>
      </tp>
      <tp t="s">
        <v>#N/A N/A</v>
        <stp/>
        <stp>BDP|13193773685603935417</stp>
        <tr r="AC15" s="1"/>
      </tp>
      <tp t="s">
        <v>#N/A N/A</v>
        <stp/>
        <stp>BDP|10487890006410465346</stp>
        <tr r="T28" s="1"/>
      </tp>
      <tp t="s">
        <v>#N/A N/A</v>
        <stp/>
        <stp>BDP|10554280664297671840</stp>
        <tr r="B29" s="1"/>
      </tp>
      <tp t="s">
        <v>#N/A N/A</v>
        <stp/>
        <stp>BDP|11636175726679937055</stp>
        <tr r="C19" s="1"/>
      </tp>
      <tp t="s">
        <v>#N/A N/A</v>
        <stp/>
        <stp>BDP|15079215589021245506</stp>
        <tr r="Y7" s="1"/>
      </tp>
      <tp t="s">
        <v>#N/A N/A</v>
        <stp/>
        <stp>BDP|16709188895216370342</stp>
        <tr r="AM28" s="1"/>
      </tp>
      <tp t="s">
        <v>#N/A N/A</v>
        <stp/>
        <stp>BDP|13144183106049310015</stp>
        <tr r="S21" s="1"/>
      </tp>
      <tp t="s">
        <v>#N/A N/A</v>
        <stp/>
        <stp>BDP|14497171027228880417</stp>
        <tr r="T15" s="1"/>
      </tp>
      <tp t="s">
        <v>#N/A N/A</v>
        <stp/>
        <stp>BDP|15697986426713354670</stp>
        <tr r="M14" s="1"/>
        <tr r="M13" s="1"/>
      </tp>
      <tp t="s">
        <v>#N/A N/A</v>
        <stp/>
        <stp>BDP|14859756424079665305</stp>
        <tr r="S19" s="1"/>
      </tp>
      <tp t="s">
        <v>#N/A N/A</v>
        <stp/>
        <stp>BDP|11753992258083123585</stp>
        <tr r="Q19" s="1"/>
      </tp>
      <tp t="s">
        <v>#N/A N/A</v>
        <stp/>
        <stp>BDP|14151667631442915801</stp>
        <tr r="D27" s="1"/>
      </tp>
      <tp t="s">
        <v>#N/A N/A</v>
        <stp/>
        <stp>BDP|13365793227939517461</stp>
        <tr r="L15" s="1"/>
      </tp>
      <tp t="s">
        <v>#N/A N/A</v>
        <stp/>
        <stp>BDP|10869187696916336553</stp>
        <tr r="W19" s="1"/>
      </tp>
      <tp t="s">
        <v>#N/A N/A</v>
        <stp/>
        <stp>BDP|14552476861194098900</stp>
        <tr r="P27" s="1"/>
      </tp>
      <tp t="s">
        <v>#N/A N/A</v>
        <stp/>
        <stp>BDP|14959164991511966641</stp>
        <tr r="B24" s="1"/>
      </tp>
      <tp t="s">
        <v>#N/A N/A</v>
        <stp/>
        <stp>BDP|12174889408065518467</stp>
        <tr r="U24" s="1"/>
      </tp>
      <tp t="s">
        <v>#N/A N/A</v>
        <stp/>
        <stp>BDP|17572353898150818627</stp>
        <tr r="T25" s="1"/>
      </tp>
      <tp t="s">
        <v>#N/A N/A</v>
        <stp/>
        <stp>BDP|11045723707768447545</stp>
        <tr r="W2" s="1"/>
      </tp>
      <tp t="s">
        <v>#N/A N/A</v>
        <stp/>
        <stp>BDP|10342022911003100943</stp>
        <tr r="AM11" s="1"/>
      </tp>
      <tp t="s">
        <v>#N/A N/A</v>
        <stp/>
        <stp>BDP|12394954199329383082</stp>
        <tr r="Q5" s="1"/>
      </tp>
      <tp t="s">
        <v>#N/A N/A</v>
        <stp/>
        <stp>BDP|12578276041506315979</stp>
        <tr r="AC29" s="1"/>
      </tp>
      <tp t="s">
        <v>#N/A N/A</v>
        <stp/>
        <stp>BDP|16445208633444315838</stp>
        <tr r="AF9" s="1"/>
      </tp>
      <tp t="s">
        <v>#N/A N/A</v>
        <stp/>
        <stp>BDP|15792977234512709656</stp>
        <tr r="W13" s="1"/>
        <tr r="W14" s="1"/>
      </tp>
      <tp t="s">
        <v>#N/A N/A</v>
        <stp/>
        <stp>BDP|16870412245616561827</stp>
        <tr r="H23" s="1"/>
      </tp>
      <tp t="s">
        <v>#N/A N/A</v>
        <stp/>
        <stp>BDP|12761522997305934301</stp>
        <tr r="AJ25" s="1"/>
      </tp>
      <tp t="s">
        <v>#N/A N/A</v>
        <stp/>
        <stp>BDP|12755139016062729887</stp>
        <tr r="M10" s="1"/>
      </tp>
      <tp t="s">
        <v>#N/A N/A</v>
        <stp/>
        <stp>BDP|15377085847379288037</stp>
        <tr r="AM9" s="1"/>
      </tp>
      <tp t="s">
        <v>#N/A N/A</v>
        <stp/>
        <stp>BDP|13696888926310144158</stp>
        <tr r="R28" s="1"/>
      </tp>
      <tp t="s">
        <v>#N/A N/A</v>
        <stp/>
        <stp>BDP|15190528531698931340</stp>
        <tr r="AJ20" s="1"/>
      </tp>
      <tp t="s">
        <v>#N/A N/A</v>
        <stp/>
        <stp>BDP|14891176785570368572</stp>
        <tr r="D23" s="1"/>
      </tp>
      <tp t="s">
        <v>#N/A N/A</v>
        <stp/>
        <stp>BDP|10651257361294729859</stp>
        <tr r="M12" s="1"/>
      </tp>
      <tp t="s">
        <v>#N/A N/A</v>
        <stp/>
        <stp>BDP|17014678493082643225</stp>
        <tr r="AE15" s="1"/>
      </tp>
      <tp t="s">
        <v>#N/A N/A</v>
        <stp/>
        <stp>BDP|11605839910378452826</stp>
        <tr r="D25" s="1"/>
      </tp>
      <tp t="s">
        <v>#N/A N/A</v>
        <stp/>
        <stp>BDP|14433940736147391170</stp>
        <tr r="AL15" s="1"/>
      </tp>
      <tp t="s">
        <v>#N/A N/A</v>
        <stp/>
        <stp>BDP|11759317526209665147</stp>
        <tr r="AB22" s="1"/>
      </tp>
      <tp t="s">
        <v>#N/A N/A</v>
        <stp/>
        <stp>BDP|11298336981871736353</stp>
        <tr r="I27" s="1"/>
      </tp>
      <tp t="s">
        <v>#N/A N/A</v>
        <stp/>
        <stp>BDP|12301894856434994314</stp>
        <tr r="AJ29" s="1"/>
      </tp>
      <tp t="s">
        <v>#N/A N/A</v>
        <stp/>
        <stp>BDP|16243462427238163060</stp>
        <tr r="F20" s="1"/>
      </tp>
      <tp t="s">
        <v>#N/A N/A</v>
        <stp/>
        <stp>BDP|10962593569269910246</stp>
        <tr r="F7" s="1"/>
      </tp>
      <tp t="s">
        <v>#N/A N/A</v>
        <stp/>
        <stp>BDP|13573459742482092959</stp>
        <tr r="AE24" s="1"/>
      </tp>
      <tp t="s">
        <v>#N/A N/A</v>
        <stp/>
        <stp>BDP|15750055283234318153</stp>
        <tr r="F8" s="1"/>
      </tp>
      <tp t="s">
        <v>#N/A N/A</v>
        <stp/>
        <stp>BDP|11400017511518160022</stp>
        <tr r="U7" s="1"/>
      </tp>
      <tp t="s">
        <v>#N/A N/A</v>
        <stp/>
        <stp>BDP|16195728215569371125</stp>
        <tr r="N18" s="1"/>
      </tp>
      <tp t="s">
        <v>#N/A N/A</v>
        <stp/>
        <stp>BDP|17073839935156039202</stp>
        <tr r="K12" s="1"/>
      </tp>
      <tp t="s">
        <v>#N/A N/A</v>
        <stp/>
        <stp>BDP|18227679854591236250</stp>
        <tr r="Y6" s="1"/>
      </tp>
      <tp t="s">
        <v>#N/A N/A</v>
        <stp/>
        <stp>BADDPERIODS|15901722789715430329</stp>
        <tr r="B25" s="1"/>
        <tr r="B24" s="1"/>
        <tr r="B11" s="1"/>
        <tr r="B22" s="1"/>
        <tr r="B10" s="1"/>
        <tr r="B16" s="1"/>
        <tr r="B18" s="1"/>
        <tr r="B17" s="1"/>
        <tr r="B29" s="1"/>
        <tr r="B8" s="1"/>
        <tr r="B21" s="1"/>
        <tr r="B13" s="1"/>
        <tr r="B27" s="1"/>
        <tr r="B7" s="1"/>
        <tr r="B15" s="1"/>
        <tr r="B20" s="1"/>
        <tr r="B19" s="1"/>
        <tr r="B14" s="1"/>
        <tr r="B23" s="1"/>
        <tr r="B28" s="1"/>
        <tr r="B26" s="1"/>
        <tr r="B9" s="1"/>
        <tr r="B6" s="1"/>
        <tr r="B12" s="1"/>
        <tr r="B5" s="1"/>
      </tp>
      <tp t="s">
        <v>#N/A N/A</v>
        <stp/>
        <stp>BDP|15352418881077334794</stp>
        <tr r="AD28" s="1"/>
      </tp>
      <tp t="s">
        <v>#N/A N/A</v>
        <stp/>
        <stp>BDP|12727034978504028858</stp>
        <tr r="Y12" s="1"/>
      </tp>
      <tp t="s">
        <v>#N/A N/A</v>
        <stp/>
        <stp>BDP|13455105768955133856</stp>
        <tr r="AC21" s="1"/>
      </tp>
      <tp t="s">
        <v>#N/A N/A</v>
        <stp/>
        <stp>BDP|12092787534469276640</stp>
        <tr r="R22" s="1"/>
      </tp>
      <tp t="s">
        <v>#N/A N/A</v>
        <stp/>
        <stp>BDP|16574036788786144123</stp>
        <tr r="B6" s="1"/>
      </tp>
      <tp t="s">
        <v>#N/A N/A</v>
        <stp/>
        <stp>BDP|14885270796587636104</stp>
        <tr r="Q25" s="1"/>
      </tp>
      <tp t="s">
        <v>#N/A N/A</v>
        <stp/>
        <stp>BDP|10367054898078221838</stp>
        <tr r="F11" s="1"/>
      </tp>
      <tp t="s">
        <v>#N/A N/A</v>
        <stp/>
        <stp>BDP|14268874275802661091</stp>
        <tr r="D17" s="1"/>
      </tp>
      <tp t="s">
        <v>#N/A N/A</v>
        <stp/>
        <stp>BDP|15457154281972942771</stp>
        <tr r="AB16" s="1"/>
      </tp>
      <tp t="s">
        <v>#N/A N/A</v>
        <stp/>
        <stp>BDP|14429323075021772851</stp>
        <tr r="J26" s="1"/>
      </tp>
      <tp t="s">
        <v>#N/A N/A</v>
        <stp/>
        <stp>BDP|11451043877647168872</stp>
        <tr r="X11" s="1"/>
      </tp>
      <tp t="s">
        <v>#N/A N/A</v>
        <stp/>
        <stp>BDP|17307258711834383972</stp>
        <tr r="J20" s="1"/>
      </tp>
      <tp t="s">
        <v>#N/A N/A</v>
        <stp/>
        <stp>BDP|13354207588325108598</stp>
        <tr r="AD19" s="1"/>
      </tp>
      <tp t="s">
        <v>#N/A N/A</v>
        <stp/>
        <stp>BDP|10281735962529410149</stp>
        <tr r="AK5" s="1"/>
      </tp>
      <tp t="s">
        <v>#N/A N/A</v>
        <stp/>
        <stp>BDP|16372341266988551268</stp>
        <tr r="AC12" s="1"/>
      </tp>
      <tp t="s">
        <v>#N/A N/A</v>
        <stp/>
        <stp>BDP|12255104317553592847</stp>
        <tr r="O26" s="1"/>
      </tp>
      <tp t="s">
        <v>#N/A N/A</v>
        <stp/>
        <stp>BDP|11126776972859852186</stp>
        <tr r="O20" s="1"/>
      </tp>
      <tp t="s">
        <v>#N/A N/A</v>
        <stp/>
        <stp>BDP|11679842256862661754</stp>
        <tr r="K26" s="1"/>
      </tp>
      <tp t="s">
        <v>#N/A N/A</v>
        <stp/>
        <stp>BDP|15256293278458472107</stp>
        <tr r="AA6" s="1"/>
      </tp>
      <tp t="s">
        <v>#N/A N/A</v>
        <stp/>
        <stp>BDP|17165300517288162405</stp>
        <tr r="I26" s="1"/>
      </tp>
      <tp t="s">
        <v>#N/A N/A</v>
        <stp/>
        <stp>BDP|12270818606173771045</stp>
        <tr r="R9" s="1"/>
      </tp>
      <tp t="s">
        <v>#N/A N/A</v>
        <stp/>
        <stp>BDP|14330548643839569287</stp>
        <tr r="T16" s="1"/>
      </tp>
      <tp t="s">
        <v>#N/A N/A</v>
        <stp/>
        <stp>BDP|16247341170889802579</stp>
        <tr r="Q28" s="1"/>
      </tp>
      <tp t="s">
        <v>#N/A N/A</v>
        <stp/>
        <stp>BDP|17318397969244979837</stp>
        <tr r="AI11" s="1"/>
      </tp>
      <tp t="s">
        <v>#N/A N/A</v>
        <stp/>
        <stp>BDP|15904086052649825735</stp>
        <tr r="R6" s="1"/>
      </tp>
      <tp t="s">
        <v>#N/A N/A</v>
        <stp/>
        <stp>BDP|14307449912728711781</stp>
        <tr r="S18" s="1"/>
      </tp>
      <tp t="s">
        <v>#N/A N/A</v>
        <stp/>
        <stp>BDP|12143813893525832813</stp>
        <tr r="F2" s="1"/>
      </tp>
      <tp t="s">
        <v>#N/A N/A</v>
        <stp/>
        <stp>BDP|16029142523063945838</stp>
        <tr r="AG5" s="1"/>
      </tp>
      <tp t="s">
        <v>#N/A N/A</v>
        <stp/>
        <stp>BDP|15017093192406114469</stp>
        <tr r="H2" s="1"/>
      </tp>
      <tp t="s">
        <v>#N/A N/A</v>
        <stp/>
        <stp>BDP|14853829272125444030</stp>
        <tr r="G20" s="1"/>
      </tp>
      <tp t="s">
        <v>#N/A N/A</v>
        <stp/>
        <stp>BDP|17561167424193168995</stp>
        <tr r="X28" s="1"/>
      </tp>
      <tp t="s">
        <v>#N/A N/A</v>
        <stp/>
        <stp>BDP|11489618816098427085</stp>
        <tr r="S29" s="1"/>
      </tp>
      <tp t="s">
        <v>#N/A N/A</v>
        <stp/>
        <stp>BDP|15550862558640322676</stp>
        <tr r="AM20" s="1"/>
      </tp>
      <tp t="s">
        <v>#N/A N/A</v>
        <stp/>
        <stp>BDP|15038436940738697342</stp>
        <tr r="AM19" s="1"/>
      </tp>
      <tp t="s">
        <v>#N/A N/A</v>
        <stp/>
        <stp>BDP|17979850038263594117</stp>
        <tr r="AB25" s="1"/>
      </tp>
      <tp t="s">
        <v>#N/A N/A</v>
        <stp/>
        <stp>BDP|12103901525283473406</stp>
        <tr r="B16" s="1"/>
      </tp>
      <tp t="s">
        <v>#N/A N/A</v>
        <stp/>
        <stp>BDP|13332801480748451549</stp>
        <tr r="E23" s="1"/>
      </tp>
      <tp t="s">
        <v>#N/A N/A</v>
        <stp/>
        <stp>BDP|12022354288663600488</stp>
        <tr r="AE5" s="1"/>
      </tp>
      <tp t="s">
        <v>#N/A N/A</v>
        <stp/>
        <stp>BDP|11161990484546810871</stp>
        <tr r="AB18" s="1"/>
      </tp>
      <tp t="s">
        <v>#N/A N/A</v>
        <stp/>
        <stp>BDP|11349195330279063480</stp>
        <tr r="AF15" s="1"/>
      </tp>
      <tp t="s">
        <v>#N/A N/A</v>
        <stp/>
        <stp>BDP|15208891741482930513</stp>
        <tr r="Y28" s="1"/>
      </tp>
      <tp t="s">
        <v>#N/A N/A</v>
        <stp/>
        <stp>BDP|10473514794772166058</stp>
        <tr r="AD17" s="1"/>
      </tp>
      <tp t="s">
        <v>#N/A N/A</v>
        <stp/>
        <stp>BDP|10971952888069458651</stp>
        <tr r="U22" s="1"/>
      </tp>
      <tp t="s">
        <v>#N/A N/A</v>
        <stp/>
        <stp>BDP|10047425512062126966</stp>
        <tr r="I22" s="1"/>
      </tp>
      <tp t="s">
        <v>#N/A N/A</v>
        <stp/>
        <stp>BDP|11382215916304409862</stp>
        <tr r="F5" s="1"/>
      </tp>
      <tp t="s">
        <v>#N/A N/A</v>
        <stp/>
        <stp>BDP|16520851320551014362</stp>
        <tr r="AE26" s="1"/>
      </tp>
      <tp t="s">
        <v>#N/A N/A</v>
        <stp/>
        <stp>BDP|18052439608980385318</stp>
        <tr r="AJ9" s="1"/>
      </tp>
      <tp t="s">
        <v>#N/A N/A</v>
        <stp/>
        <stp>BDP|12353346819478353755</stp>
        <tr r="H6" s="1"/>
      </tp>
      <tp t="s">
        <v>#N/A N/A</v>
        <stp/>
        <stp>BDP|16553038014670956809</stp>
        <tr r="L25" s="1"/>
      </tp>
      <tp t="s">
        <v>#N/A N/A</v>
        <stp/>
        <stp>BDP|16954706064829016175</stp>
        <tr r="C24" s="1"/>
      </tp>
      <tp t="s">
        <v>#N/A N/A</v>
        <stp/>
        <stp>BDP|15985868104057164504</stp>
        <tr r="AA22" s="1"/>
      </tp>
      <tp t="s">
        <v>#N/A N/A</v>
        <stp/>
        <stp>BDP|12878060325366057963</stp>
        <tr r="AF19" s="1"/>
      </tp>
      <tp t="s">
        <v>#N/A N/A</v>
        <stp/>
        <stp>BDP|11630910734823873768</stp>
        <tr r="AG28" s="1"/>
      </tp>
      <tp t="s">
        <v>#N/A N/A</v>
        <stp/>
        <stp>BDP|12592530776707952851</stp>
        <tr r="AA28" s="1"/>
      </tp>
      <tp t="s">
        <v>#N/A N/A</v>
        <stp/>
        <stp>BDP|12298768538348668155</stp>
        <tr r="Z7" s="1"/>
      </tp>
      <tp t="s">
        <v>#N/A N/A</v>
        <stp/>
        <stp>BDP|17235673986747100132</stp>
        <tr r="E5" s="1"/>
      </tp>
      <tp t="s">
        <v>#N/A N/A</v>
        <stp/>
        <stp>BDP|11514292863678797282</stp>
        <tr r="W27" s="1"/>
      </tp>
      <tp t="s">
        <v>#N/A N/A</v>
        <stp/>
        <stp>BDP|12234622733999872188</stp>
        <tr r="L22" s="1"/>
      </tp>
      <tp t="s">
        <v>#N/A N/A</v>
        <stp/>
        <stp>BDP|10686047226484693916</stp>
        <tr r="AJ5" s="1"/>
      </tp>
      <tp t="s">
        <v>#N/A N/A</v>
        <stp/>
        <stp>BDP|18080295253913137397</stp>
        <tr r="N21" s="1"/>
      </tp>
      <tp t="s">
        <v>#N/A N/A</v>
        <stp/>
        <stp>BDP|15211354785545648416</stp>
        <tr r="S15" s="1"/>
      </tp>
      <tp t="s">
        <v>#N/A N/A</v>
        <stp/>
        <stp>BDP|17625926102977192624</stp>
        <tr r="T5" s="1"/>
      </tp>
      <tp t="s">
        <v>#N/A N/A</v>
        <stp/>
        <stp>BDP|18143576451164138335</stp>
        <tr r="G27" s="1"/>
      </tp>
      <tp t="s">
        <v>#N/A N/A</v>
        <stp/>
        <stp>BDP|17915542898840581440</stp>
        <tr r="V22" s="1"/>
      </tp>
      <tp t="s">
        <v>#N/A N/A</v>
        <stp/>
        <stp>BDP|13553369147962246920</stp>
        <tr r="H7" s="1"/>
      </tp>
      <tp t="s">
        <v>#N/A N/A</v>
        <stp/>
        <stp>BDP|18048357543376207626</stp>
        <tr r="AH23" s="1"/>
      </tp>
      <tp t="s">
        <v>#N/A N/A</v>
        <stp/>
        <stp>BDP|17766982583518695226</stp>
        <tr r="U13" s="1"/>
        <tr r="U14" s="1"/>
      </tp>
      <tp t="s">
        <v>#N/A N/A</v>
        <stp/>
        <stp>BDP|13775983470658027972</stp>
        <tr r="G18" s="1"/>
      </tp>
      <tp t="s">
        <v>#N/A N/A</v>
        <stp/>
        <stp>BDP|14677092033223736832</stp>
        <tr r="C11" s="1"/>
      </tp>
      <tp t="s">
        <v>#N/A N/A</v>
        <stp/>
        <stp>BDP|15735984246080801493</stp>
        <tr r="AE25" s="1"/>
      </tp>
      <tp t="s">
        <v>#N/A N/A</v>
        <stp/>
        <stp>BDP|14444127394713069393</stp>
        <tr r="P17" s="1"/>
      </tp>
      <tp t="s">
        <v>#N/A N/A</v>
        <stp/>
        <stp>BDP|11682062191617001300</stp>
        <tr r="AF12" s="1"/>
      </tp>
      <tp t="s">
        <v>#N/A N/A</v>
        <stp/>
        <stp>BDP|17816802309356470541</stp>
        <tr r="Q10" s="1"/>
      </tp>
      <tp t="s">
        <v>#N/A N/A</v>
        <stp/>
        <stp>BDP|17564402439568827443</stp>
        <tr r="AL16" s="1"/>
      </tp>
      <tp t="s">
        <v>#N/A N/A</v>
        <stp/>
        <stp>BDP|15207116085114503412</stp>
        <tr r="M7" s="1"/>
      </tp>
      <tp t="s">
        <v>#N/A N/A</v>
        <stp/>
        <stp>BDP|15877181023473689900</stp>
        <tr r="Q12" s="1"/>
      </tp>
      <tp t="s">
        <v>#N/A N/A</v>
        <stp/>
        <stp>BDP|13439571847357814992</stp>
        <tr r="AH15" s="1"/>
      </tp>
      <tp t="s">
        <v>#N/A N/A</v>
        <stp/>
        <stp>BDP|14208258548436120890</stp>
        <tr r="N22" s="1"/>
      </tp>
      <tp t="s">
        <v>#N/A N/A</v>
        <stp/>
        <stp>BDP|18051604134657615658</stp>
        <tr r="L19" s="1"/>
      </tp>
      <tp t="s">
        <v>#N/A N/A</v>
        <stp/>
        <stp>BDP|13099184578989737006</stp>
        <tr r="AD10" s="1"/>
      </tp>
      <tp t="s">
        <v>#N/A N/A</v>
        <stp/>
        <stp>BDP|17568005482715516652</stp>
        <tr r="D22" s="1"/>
      </tp>
      <tp t="s">
        <v>#N/A N/A</v>
        <stp/>
        <stp>BDP|18327106014125131106</stp>
        <tr r="AI9" s="1"/>
      </tp>
      <tp t="s">
        <v>#N/A N/A</v>
        <stp/>
        <stp>BDP|10301250545668314260</stp>
        <tr r="U11" s="1"/>
      </tp>
      <tp t="s">
        <v>#N/A N/A</v>
        <stp/>
        <stp>BDP|11508900403044646193</stp>
        <tr r="T21" s="1"/>
      </tp>
      <tp t="s">
        <v>#N/A N/A</v>
        <stp/>
        <stp>BDP|18008261379896790614</stp>
        <tr r="AD24" s="1"/>
      </tp>
      <tp t="s">
        <v>#N/A N/A</v>
        <stp/>
        <stp>BDP|15840502991940772467</stp>
        <tr r="Z19" s="1"/>
      </tp>
      <tp t="s">
        <v>#N/A N/A</v>
        <stp/>
        <stp>BDP|10890631094742464005</stp>
        <tr r="N25" s="1"/>
      </tp>
      <tp t="s">
        <v>#N/A N/A</v>
        <stp/>
        <stp>BDP|15135445145631244980</stp>
        <tr r="U25" s="1"/>
      </tp>
      <tp t="s">
        <v>#N/A N/A</v>
        <stp/>
        <stp>BDP|17655638127668831662</stp>
        <tr r="AC23" s="1"/>
      </tp>
      <tp t="s">
        <v>#N/A N/A</v>
        <stp/>
        <stp>BDP|16601858012311564385</stp>
        <tr r="Q18" s="1"/>
      </tp>
      <tp t="s">
        <v>#N/A N/A</v>
        <stp/>
        <stp>BDP|10703181625917501901</stp>
        <tr r="J5" s="1"/>
      </tp>
      <tp t="s">
        <v>#N/A N/A</v>
        <stp/>
        <stp>BDP|17017555047198813347</stp>
        <tr r="T11" s="1"/>
      </tp>
      <tp t="s">
        <v>#N/A N/A</v>
        <stp/>
        <stp>BDP|17536936305711590270</stp>
        <tr r="N16" s="1"/>
      </tp>
      <tp t="s">
        <v>#N/A N/A</v>
        <stp/>
        <stp>BDP|13677844315065083264</stp>
        <tr r="R7" s="1"/>
      </tp>
      <tp t="s">
        <v>#N/A N/A</v>
        <stp/>
        <stp>BDP|13730279996523326641</stp>
        <tr r="Z10" s="1"/>
      </tp>
      <tp t="s">
        <v>#N/A N/A</v>
        <stp/>
        <stp>BDP|10370332000789163716</stp>
        <tr r="G29" s="1"/>
      </tp>
      <tp t="s">
        <v>#N/A N/A</v>
        <stp/>
        <stp>BDP|11346676206363007900</stp>
        <tr r="K9" s="1"/>
      </tp>
      <tp t="s">
        <v>#N/A N/A</v>
        <stp/>
        <stp>BDP|15822542480844173193</stp>
        <tr r="AG7" s="1"/>
      </tp>
      <tp t="s">
        <v>#N/A N/A</v>
        <stp/>
        <stp>BDP|15299253417418130366</stp>
        <tr r="AH26" s="1"/>
      </tp>
      <tp t="s">
        <v>#N/A N/A</v>
        <stp/>
        <stp>BDP|13052363332828482678</stp>
        <tr r="T7" s="1"/>
      </tp>
      <tp t="s">
        <v>#N/A N/A</v>
        <stp/>
        <stp>BDP|16321124254865499584</stp>
        <tr r="AD20" s="1"/>
      </tp>
      <tp t="s">
        <v>#N/A N/A</v>
        <stp/>
        <stp>BDP|17544157584225431992</stp>
        <tr r="Y10" s="1"/>
      </tp>
      <tp t="s">
        <v>#N/A N/A</v>
        <stp/>
        <stp>BDP|15709030566632931323</stp>
        <tr r="N11" s="1"/>
      </tp>
      <tp t="s">
        <v>#N/A N/A</v>
        <stp/>
        <stp>BDP|18191528936564542889</stp>
        <tr r="U23" s="1"/>
      </tp>
      <tp t="s">
        <v>#N/A N/A</v>
        <stp/>
        <stp>BDP|11460401108723196469</stp>
        <tr r="AD6" s="1"/>
      </tp>
      <tp t="s">
        <v>#N/A N/A</v>
        <stp/>
        <stp>BDP|15357328416687473296</stp>
        <tr r="U6" s="1"/>
      </tp>
      <tp t="s">
        <v>#N/A N/A</v>
        <stp/>
        <stp>BDP|17330211128803604666</stp>
        <tr r="AD5" s="1"/>
      </tp>
      <tp t="s">
        <v>#N/A N/A</v>
        <stp/>
        <stp>BDP|11816161827380379072</stp>
        <tr r="R17" s="1"/>
      </tp>
      <tp t="s">
        <v>#N/A N/A</v>
        <stp/>
        <stp>BDP|13595978985426319687</stp>
        <tr r="AH5" s="1"/>
      </tp>
      <tp t="s">
        <v>#N/A N/A</v>
        <stp/>
        <stp>BDP|14226327741394454592</stp>
        <tr r="O12" s="1"/>
      </tp>
      <tp t="s">
        <v>#N/A N/A</v>
        <stp/>
        <stp>BDP|10019384224004275718</stp>
        <tr r="AK12" s="1"/>
      </tp>
      <tp t="s">
        <v>#N/A N/A</v>
        <stp/>
        <stp>BDP|17116358559951758253</stp>
        <tr r="AB17" s="1"/>
      </tp>
      <tp t="s">
        <v>#N/A N/A</v>
        <stp/>
        <stp>BDP|17021627934341891107</stp>
        <tr r="AE20" s="1"/>
      </tp>
      <tp t="s">
        <v>#N/A N/A</v>
        <stp/>
        <stp>BDP|14903236670522664129</stp>
        <tr r="AJ10" s="1"/>
      </tp>
      <tp t="s">
        <v>#N/A N/A</v>
        <stp/>
        <stp>BDP|12444069747043959729</stp>
        <tr r="P20" s="1"/>
      </tp>
      <tp t="s">
        <v>#N/A N/A</v>
        <stp/>
        <stp>BDP|13417694462899811864</stp>
        <tr r="I24" s="1"/>
      </tp>
      <tp t="s">
        <v>#N/A N/A</v>
        <stp/>
        <stp>BDP|16294424156236252355</stp>
        <tr r="L11" s="1"/>
      </tp>
      <tp t="s">
        <v>#N/A N/A</v>
        <stp/>
        <stp>BDP|16796159762500738364</stp>
        <tr r="E2" s="1"/>
      </tp>
      <tp t="s">
        <v>#N/A N/A</v>
        <stp/>
        <stp>BDP|12604639240144065648</stp>
        <tr r="D11" s="1"/>
      </tp>
      <tp t="s">
        <v>#N/A N/A</v>
        <stp/>
        <stp>BDP|15402040273021626154</stp>
        <tr r="F10" s="1"/>
      </tp>
      <tp t="s">
        <v>#N/A N/A</v>
        <stp/>
        <stp>BDP|12796415131710046751</stp>
        <tr r="B22" s="1"/>
      </tp>
      <tp t="s">
        <v>#N/A N/A</v>
        <stp/>
        <stp>BDP|14165168171950639025</stp>
        <tr r="AI19" s="1"/>
      </tp>
      <tp t="s">
        <v>#N/A N/A</v>
        <stp/>
        <stp>BDP|13396423591118646435</stp>
        <tr r="AE10" s="1"/>
      </tp>
      <tp t="s">
        <v>#N/A N/A</v>
        <stp/>
        <stp>BDP|12082252212403008027</stp>
        <tr r="J18" s="1"/>
      </tp>
      <tp t="s">
        <v>#N/A N/A</v>
        <stp/>
        <stp>BDP|15765034950464395630</stp>
        <tr r="AC6" s="1"/>
      </tp>
      <tp t="s">
        <v>#N/A N/A</v>
        <stp/>
        <stp>BDP|12756004386718329068</stp>
        <tr r="E17" s="1"/>
      </tp>
      <tp t="s">
        <v>#N/A N/A</v>
        <stp/>
        <stp>BDP|14415728708639337898</stp>
        <tr r="W11" s="1"/>
      </tp>
      <tp t="s">
        <v>#N/A N/A</v>
        <stp/>
        <stp>BDP|11406559331957098274</stp>
        <tr r="AK13" s="1"/>
        <tr r="AK14" s="1"/>
      </tp>
      <tp t="s">
        <v>#N/A N/A</v>
        <stp/>
        <stp>BDP|11280780255867854608</stp>
        <tr r="K24" s="1"/>
      </tp>
      <tp t="s">
        <v>#N/A N/A</v>
        <stp/>
        <stp>BDP|11539057914873431179</stp>
        <tr r="G12" s="1"/>
      </tp>
      <tp t="s">
        <v>#N/A N/A</v>
        <stp/>
        <stp>BDP|12314412244432886286</stp>
        <tr r="J2" s="1"/>
      </tp>
      <tp t="s">
        <v>#N/A N/A</v>
        <stp/>
        <stp>BDP|18406054938030956969</stp>
        <tr r="Q29" s="1"/>
      </tp>
      <tp t="s">
        <v>#N/A N/A</v>
        <stp/>
        <stp>BDP|10132077277186651311</stp>
        <tr r="AE19" s="1"/>
      </tp>
      <tp t="s">
        <v>#N/A N/A</v>
        <stp/>
        <stp>BDP|18080341252194010808</stp>
        <tr r="F6" s="1"/>
      </tp>
      <tp t="s">
        <v>#N/A N/A</v>
        <stp/>
        <stp>BDP|13382510719192108635</stp>
        <tr r="AG27" s="1"/>
      </tp>
      <tp t="s">
        <v>#N/A N/A</v>
        <stp/>
        <stp>BDP|18299189797795627632</stp>
        <tr r="X22" s="1"/>
      </tp>
      <tp t="s">
        <v>#N/A N/A</v>
        <stp/>
        <stp>BDP|16305774209314397655</stp>
        <tr r="X21" s="1"/>
      </tp>
      <tp t="s">
        <v>#N/A N/A</v>
        <stp/>
        <stp>BDP|14835794119378286910</stp>
        <tr r="AL10" s="1"/>
      </tp>
      <tp t="s">
        <v>#N/A N/A</v>
        <stp/>
        <stp>BDP|14108457316342034087</stp>
        <tr r="M2" s="1"/>
      </tp>
      <tp t="s">
        <v>#N/A N/A</v>
        <stp/>
        <stp>BDP|11871319303961427040</stp>
        <tr r="Z28" s="1"/>
      </tp>
      <tp t="s">
        <v>#N/A N/A</v>
        <stp/>
        <stp>BDP|17991283510243541495</stp>
        <tr r="AE8" s="1"/>
      </tp>
      <tp t="s">
        <v>#N/A N/A</v>
        <stp/>
        <stp>BDP|15455988553419443376</stp>
        <tr r="F29" s="1"/>
      </tp>
      <tp t="s">
        <v>#N/A N/A</v>
        <stp/>
        <stp>BDP|11567865019882634902</stp>
        <tr r="N26" s="1"/>
      </tp>
      <tp t="s">
        <v>#N/A N/A</v>
        <stp/>
        <stp>BDP|10669027888118009308</stp>
        <tr r="V23" s="1"/>
      </tp>
      <tp t="s">
        <v>#N/A N/A</v>
        <stp/>
        <stp>BDP|15163075474179796893</stp>
        <tr r="E20" s="1"/>
      </tp>
      <tp t="s">
        <v>#N/A N/A</v>
        <stp/>
        <stp>BDP|14970955397725390241</stp>
        <tr r="AC28" s="1"/>
      </tp>
      <tp t="s">
        <v>#N/A N/A</v>
        <stp/>
        <stp>BDP|18007290097471559171</stp>
        <tr r="C9" s="1"/>
      </tp>
      <tp t="s">
        <v>#N/A N/A</v>
        <stp/>
        <stp>BDP|11090726057334999400</stp>
        <tr r="P11" s="1"/>
      </tp>
      <tp t="s">
        <v>#N/A N/A</v>
        <stp/>
        <stp>BDP|13914779892537410970</stp>
        <tr r="AL23" s="1"/>
      </tp>
      <tp t="s">
        <v>#N/A N/A</v>
        <stp/>
        <stp>BDP|18424540230509742484</stp>
        <tr r="AF6" s="1"/>
      </tp>
      <tp t="s">
        <v>#N/A N/A</v>
        <stp/>
        <stp>BDP|11743596020003943681</stp>
        <tr r="B18" s="1"/>
      </tp>
      <tp t="s">
        <v>#N/A N/A</v>
        <stp/>
        <stp>BDP|10321205794130998804</stp>
        <tr r="L10" s="1"/>
      </tp>
      <tp t="s">
        <v>#N/A N/A</v>
        <stp/>
        <stp>BDP|18107919489788358240</stp>
        <tr r="F17" s="1"/>
      </tp>
      <tp t="s">
        <v>#N/A N/A</v>
        <stp/>
        <stp>BDP|16500453351721964560</stp>
        <tr r="J28" s="1"/>
      </tp>
      <tp t="s">
        <v>#N/A N/A</v>
        <stp/>
        <stp>BDP|13647515765885997654</stp>
        <tr r="AJ7" s="1"/>
      </tp>
      <tp t="s">
        <v>#N/A N/A</v>
        <stp/>
        <stp>BDP|15437446421696433649</stp>
        <tr r="N19" s="1"/>
      </tp>
      <tp t="s">
        <v>#N/A N/A</v>
        <stp/>
        <stp>BDP|10982380225946410418</stp>
        <tr r="AF24" s="1"/>
      </tp>
      <tp t="s">
        <v>#N/A N/A</v>
        <stp/>
        <stp>BDP|14339006344490533331</stp>
        <tr r="C18" s="1"/>
      </tp>
      <tp t="s">
        <v>#N/A N/A</v>
        <stp/>
        <stp>BDP|15813677578447601001</stp>
        <tr r="C5" s="1"/>
      </tp>
      <tp t="s">
        <v>#N/A N/A</v>
        <stp/>
        <stp>BDP|14456175070839195830</stp>
        <tr r="AF2" s="1"/>
      </tp>
      <tp t="s">
        <v>#N/A N/A</v>
        <stp/>
        <stp>BDP|10290050937183242327</stp>
        <tr r="I7" s="1"/>
      </tp>
      <tp t="s">
        <v>#N/A N/A</v>
        <stp/>
        <stp>BDP|11386763665403248023</stp>
        <tr r="AH10" s="1"/>
      </tp>
      <tp t="s">
        <v>#N/A N/A</v>
        <stp/>
        <stp>BDP|12759250452220518653</stp>
        <tr r="AH11" s="1"/>
      </tp>
      <tp t="s">
        <v>#N/A N/A</v>
        <stp/>
        <stp>BDP|15754865388411921703</stp>
        <tr r="AA19" s="1"/>
      </tp>
      <tp t="s">
        <v>#N/A N/A</v>
        <stp/>
        <stp>BDP|10902714106312580684</stp>
        <tr r="V7" s="1"/>
      </tp>
      <tp t="s">
        <v>#N/A N/A</v>
        <stp/>
        <stp>BDP|10012268704291820083</stp>
        <tr r="N24" s="1"/>
      </tp>
      <tp t="s">
        <v>#N/A N/A</v>
        <stp/>
        <stp>BDP|16372256667237424609</stp>
        <tr r="R20" s="1"/>
      </tp>
      <tp t="s">
        <v>#N/A N/A</v>
        <stp/>
        <stp>BDP|14773421966683499631</stp>
        <tr r="X8" s="1"/>
      </tp>
      <tp t="s">
        <v>#N/A N/A</v>
        <stp/>
        <stp>BDP|13936382176073344709</stp>
        <tr r="U27" s="1"/>
      </tp>
      <tp t="s">
        <v>#N/A N/A</v>
        <stp/>
        <stp>BDP|17266760152654046227</stp>
        <tr r="B12" s="1"/>
      </tp>
      <tp t="s">
        <v>#N/A N/A</v>
        <stp/>
        <stp>BDP|12941232809153575020</stp>
        <tr r="L18" s="1"/>
      </tp>
      <tp t="s">
        <v>#N/A N/A</v>
        <stp/>
        <stp>BDP|16360960378132815911</stp>
        <tr r="AG6" s="1"/>
      </tp>
      <tp t="s">
        <v>#N/A N/A</v>
        <stp/>
        <stp>BDP|10477140142383094568</stp>
        <tr r="AC26" s="1"/>
      </tp>
      <tp t="s">
        <v>#N/A N/A</v>
        <stp/>
        <stp>BDP|13090344136337263777</stp>
        <tr r="AJ6" s="1"/>
      </tp>
      <tp t="s">
        <v>#N/A N/A</v>
        <stp/>
        <stp>BDP|17852085217296224322</stp>
        <tr r="Y19" s="1"/>
      </tp>
      <tp t="s">
        <v>#N/A N/A</v>
        <stp/>
        <stp>BDP|11204532448519533957</stp>
        <tr r="K23" s="1"/>
      </tp>
      <tp t="s">
        <v>#N/A N/A</v>
        <stp/>
        <stp>BDP|15273681613105249723</stp>
        <tr r="C20" s="1"/>
      </tp>
      <tp t="s">
        <v>#N/A N/A</v>
        <stp/>
        <stp>BDP|10163419089269718568</stp>
        <tr r="AC11" s="1"/>
      </tp>
      <tp t="s">
        <v>#N/A N/A</v>
        <stp/>
        <stp>BDP|12386117414755918743</stp>
        <tr r="W9" s="1"/>
      </tp>
      <tp t="s">
        <v>#N/A N/A</v>
        <stp/>
        <stp>BDP|13477973663034822838</stp>
        <tr r="AH16" s="1"/>
      </tp>
      <tp t="s">
        <v>#N/A N/A</v>
        <stp/>
        <stp>BDP|14484192524774184338</stp>
        <tr r="AL2" s="1"/>
      </tp>
      <tp t="s">
        <v>#N/A N/A</v>
        <stp/>
        <stp>BDP|15384846195396861219</stp>
        <tr r="AD7" s="1"/>
      </tp>
      <tp t="s">
        <v>#N/A N/A</v>
        <stp/>
        <stp>BDP|10958034446514430031</stp>
        <tr r="J22" s="1"/>
      </tp>
      <tp t="s">
        <v>#N/A N/A</v>
        <stp/>
        <stp>BDP|13166190332059416852</stp>
        <tr r="N28" s="1"/>
      </tp>
      <tp t="s">
        <v>#N/A N/A</v>
        <stp/>
        <stp>BDP|16269483223944619448</stp>
        <tr r="AM5" s="1"/>
      </tp>
      <tp t="s">
        <v>#N/A N/A</v>
        <stp/>
        <stp>BDP|13430807279795400932</stp>
        <tr r="W21" s="1"/>
      </tp>
      <tp t="s">
        <v>#N/A N/A</v>
        <stp/>
        <stp>BDP|14974845992793030624</stp>
        <tr r="Z18" s="1"/>
      </tp>
      <tp t="s">
        <v>#N/A N/A</v>
        <stp/>
        <stp>BDP|16057118406760345798</stp>
        <tr r="AF16" s="1"/>
      </tp>
      <tp t="s">
        <v>#N/A N/A</v>
        <stp/>
        <stp>BDP|11719965645018173486</stp>
        <tr r="D13" s="1"/>
        <tr r="D14" s="1"/>
      </tp>
      <tp t="s">
        <v>#N/A N/A</v>
        <stp/>
        <stp>BDP|13833483869686776729</stp>
        <tr r="AM24" s="1"/>
      </tp>
      <tp t="s">
        <v>#N/A N/A</v>
        <stp/>
        <stp>BDP|15561141950626446799</stp>
        <tr r="AJ15" s="1"/>
      </tp>
      <tp t="s">
        <v>#N/A N/A</v>
        <stp/>
        <stp>BDP|10946926833948259262</stp>
        <tr r="AF28" s="1"/>
      </tp>
      <tp t="s">
        <v>#N/A N/A</v>
        <stp/>
        <stp>BDP|10391481431873401422</stp>
        <tr r="J14" s="1"/>
        <tr r="J13" s="1"/>
      </tp>
      <tp t="s">
        <v>#N/A N/A</v>
        <stp/>
        <stp>BDP|12425135479126581245</stp>
        <tr r="H26" s="1"/>
      </tp>
      <tp t="s">
        <v>#N/A N/A</v>
        <stp/>
        <stp>BDP|13153366253291877439</stp>
        <tr r="AB26" s="1"/>
      </tp>
      <tp t="s">
        <v>#N/A N/A</v>
        <stp/>
        <stp>BDP|17648296553544732442</stp>
        <tr r="AJ17" s="1"/>
      </tp>
      <tp t="s">
        <v>#N/A N/A</v>
        <stp/>
        <stp>BDP|17987475707984370756</stp>
        <tr r="K27" s="1"/>
      </tp>
      <tp t="s">
        <v>#N/A N/A</v>
        <stp/>
        <stp>BDP|18134104198307286756</stp>
        <tr r="E10" s="1"/>
      </tp>
      <tp t="s">
        <v>#N/A N/A</v>
        <stp/>
        <stp>BDP|10776506756310391035</stp>
        <tr r="I23" s="1"/>
      </tp>
      <tp t="s">
        <v>#N/A N/A</v>
        <stp/>
        <stp>BDP|17251814995562772401</stp>
        <tr r="AF11" s="1"/>
      </tp>
      <tp t="s">
        <v>#N/A N/A</v>
        <stp/>
        <stp>BDP|12318577374616144606</stp>
        <tr r="T24" s="1"/>
      </tp>
      <tp t="s">
        <v>#N/A N/A</v>
        <stp/>
        <stp>BDP|14275602573915684077</stp>
        <tr r="AC7" s="1"/>
      </tp>
      <tp t="s">
        <v>#N/A N/A</v>
        <stp/>
        <stp>BDP|14423525935152000036</stp>
        <tr r="Z16" s="1"/>
      </tp>
      <tp t="s">
        <v>#N/A N/A</v>
        <stp/>
        <stp>BDP|10204900286883495207</stp>
        <tr r="H20" s="1"/>
      </tp>
      <tp t="s">
        <v>#N/A N/A</v>
        <stp/>
        <stp>BDP|16547406072444674129</stp>
        <tr r="O24" s="1"/>
      </tp>
      <tp t="s">
        <v>#N/A N/A</v>
        <stp/>
        <stp>BDP|17979606212257113797</stp>
        <tr r="B9" s="1"/>
      </tp>
      <tp t="s">
        <v>#N/A N/A</v>
        <stp/>
        <stp>BDP|17503012374482139230</stp>
        <tr r="K10" s="1"/>
      </tp>
      <tp t="s">
        <v>#N/A N/A</v>
        <stp/>
        <stp>BDP|12457375667290857795</stp>
        <tr r="P12" s="1"/>
      </tp>
      <tp t="s">
        <v>#N/A N/A</v>
        <stp/>
        <stp>BDP|17200815689625631287</stp>
        <tr r="C14" s="1"/>
        <tr r="C13" s="1"/>
      </tp>
      <tp t="s">
        <v>#N/A N/A</v>
        <stp/>
        <stp>BDP|17268257575510371268</stp>
        <tr r="AD14" s="1"/>
        <tr r="AD13" s="1"/>
      </tp>
      <tp t="s">
        <v>#N/A N/A</v>
        <stp/>
        <stp>BDP|13599448424746273308</stp>
        <tr r="AC22" s="1"/>
      </tp>
      <tp t="s">
        <v>#N/A N/A</v>
        <stp/>
        <stp>BDP|15445293081716234988</stp>
        <tr r="AC2" s="1"/>
      </tp>
      <tp t="s">
        <v>#N/A N/A</v>
        <stp/>
        <stp>BDP|15715916938087980816</stp>
        <tr r="P10" s="1"/>
      </tp>
      <tp t="s">
        <v>#N/A N/A</v>
        <stp/>
        <stp>BDP|10637429524151467724</stp>
        <tr r="AM29" s="1"/>
      </tp>
      <tp t="s">
        <v>#N/A N/A</v>
        <stp/>
        <stp>BDP|14941643315420901288</stp>
        <tr r="AD18" s="1"/>
      </tp>
      <tp t="s">
        <v>#N/A N/A</v>
        <stp/>
        <stp>BDP|16096137618556456167</stp>
        <tr r="AI6" s="1"/>
      </tp>
      <tp t="s">
        <v>#N/A N/A</v>
        <stp/>
        <stp>BDP|17358378211063974743</stp>
        <tr r="AA21" s="1"/>
      </tp>
      <tp t="s">
        <v>#N/A N/A</v>
        <stp/>
        <stp>BDP|13228683510254595172</stp>
        <tr r="AH27" s="1"/>
      </tp>
      <tp t="s">
        <v>#N/A N/A</v>
        <stp/>
        <stp>BDP|11798688767673512359</stp>
        <tr r="M18" s="1"/>
      </tp>
      <tp t="s">
        <v>#N/A N/A</v>
        <stp/>
        <stp>BDP|10959623149816801514</stp>
        <tr r="D6" s="1"/>
      </tp>
      <tp t="s">
        <v>#N/A N/A</v>
        <stp/>
        <stp>BDP|14907163270984722731</stp>
        <tr r="W26" s="1"/>
      </tp>
      <tp t="s">
        <v>#N/A N/A</v>
        <stp/>
        <stp>BDP|14254420628544402778</stp>
        <tr r="G24" s="1"/>
      </tp>
      <tp t="s">
        <v>#N/A N/A</v>
        <stp/>
        <stp>BDP|12892125912727464472</stp>
        <tr r="R12" s="1"/>
      </tp>
      <tp t="s">
        <v>#N/A N/A</v>
        <stp/>
        <stp>BDP|14977825103618210500</stp>
        <tr r="W25" s="1"/>
      </tp>
      <tp t="s">
        <v>#N/A N/A</v>
        <stp/>
        <stp>BDP|10178193081358304003</stp>
        <tr r="AM23" s="1"/>
      </tp>
      <tp t="s">
        <v>#N/A N/A</v>
        <stp/>
        <stp>BDP|18334676899850647660</stp>
        <tr r="AK9" s="1"/>
      </tp>
      <tp t="s">
        <v>#N/A N/A</v>
        <stp/>
        <stp>BDP|11727858476149122687</stp>
        <tr r="AD11" s="1"/>
      </tp>
      <tp t="s">
        <v>#N/A N/A</v>
        <stp/>
        <stp>BDP|15822750049394142386</stp>
        <tr r="AD16" s="1"/>
      </tp>
      <tp t="s">
        <v>#N/A N/A</v>
        <stp/>
        <stp>BDP|13584324542757004290</stp>
        <tr r="N5" s="1"/>
      </tp>
      <tp t="s">
        <v>#N/A N/A</v>
        <stp/>
        <stp>BDP|11002194340937794223</stp>
        <tr r="AM7" s="1"/>
      </tp>
      <tp t="s">
        <v>#N/A N/A</v>
        <stp/>
        <stp>BDP|13746677765331976301</stp>
        <tr r="S27" s="1"/>
      </tp>
      <tp t="s">
        <v>#N/A N/A</v>
        <stp/>
        <stp>BDP|16479061264967022695</stp>
        <tr r="AK21" s="1"/>
      </tp>
      <tp t="s">
        <v>#N/A N/A</v>
        <stp/>
        <stp>BDP|16235791043710039475</stp>
        <tr r="AK18" s="1"/>
      </tp>
      <tp t="s">
        <v>#N/A N/A</v>
        <stp/>
        <stp>BDP|15607430435944736795</stp>
        <tr r="AL24" s="1"/>
      </tp>
      <tp t="s">
        <v>#N/A N/A</v>
        <stp/>
        <stp>BDP|10363246078375010115</stp>
        <tr r="AH25" s="1"/>
      </tp>
      <tp t="s">
        <v>#N/A N/A</v>
        <stp/>
        <stp>BDP|11908679202247451197</stp>
        <tr r="AF10" s="1"/>
      </tp>
      <tp t="s">
        <v>#N/A N/A</v>
        <stp/>
        <stp>BDP|11313284658213085420</stp>
        <tr r="J7" s="1"/>
      </tp>
      <tp t="s">
        <v>#N/A N/A</v>
        <stp/>
        <stp>BDP|17534282573121747289</stp>
        <tr r="AE21" s="1"/>
      </tp>
      <tp t="s">
        <v>#N/A N/A</v>
        <stp/>
        <stp>BDP|16104758429052841056</stp>
        <tr r="AH6" s="1"/>
      </tp>
      <tp t="s">
        <v>#N/A N/A</v>
        <stp/>
        <stp>BDP|12294171544036804095</stp>
        <tr r="AE29" s="1"/>
      </tp>
      <tp t="s">
        <v>#N/A N/A</v>
        <stp/>
        <stp>BDP|15046276415644632347</stp>
        <tr r="E27" s="1"/>
      </tp>
      <tp t="s">
        <v>#N/A N/A</v>
        <stp/>
        <stp>BDP|14653605622780249164</stp>
        <tr r="O5" s="1"/>
      </tp>
      <tp t="s">
        <v>#N/A N/A</v>
        <stp/>
        <stp>BDP|13433509760476593724</stp>
        <tr r="K7" s="1"/>
      </tp>
      <tp t="s">
        <v>#N/A N/A</v>
        <stp/>
        <stp>BDP|12180856379725880978</stp>
        <tr r="B17" s="1"/>
      </tp>
      <tp t="s">
        <v>#N/A N/A</v>
        <stp/>
        <stp>BDP|18313824601374147534</stp>
        <tr r="L23" s="1"/>
      </tp>
      <tp t="s">
        <v>#N/A N/A</v>
        <stp/>
        <stp>BDP|13339714251162302254</stp>
        <tr r="AF7" s="1"/>
      </tp>
      <tp t="s">
        <v>#N/A N/A</v>
        <stp/>
        <stp>BDP|14535487771147813110</stp>
        <tr r="AI29" s="1"/>
      </tp>
      <tp t="s">
        <v>#N/A N/A</v>
        <stp/>
        <stp>BDP|16064742054997266254</stp>
        <tr r="Q13" s="1"/>
        <tr r="Q14" s="1"/>
      </tp>
      <tp t="s">
        <v>#N/A N/A</v>
        <stp/>
        <stp>BDP|12910970032291298895</stp>
        <tr r="AF14" s="1"/>
        <tr r="AF13" s="1"/>
      </tp>
      <tp t="s">
        <v>#N/A N/A</v>
        <stp/>
        <stp>BDP|10930471709644571154</stp>
        <tr r="X10" s="1"/>
      </tp>
      <tp t="s">
        <v>#N/A N/A</v>
        <stp/>
        <stp>BDP|15248013574963287020</stp>
        <tr r="S25" s="1"/>
      </tp>
      <tp t="s">
        <v>#N/A N/A</v>
        <stp/>
        <stp>BDP|13260622127940896680</stp>
        <tr r="O7" s="1"/>
      </tp>
      <tp t="s">
        <v>#N/A N/A</v>
        <stp/>
        <stp>BDP|15153617434012609348</stp>
        <tr r="K8" s="1"/>
      </tp>
      <tp t="s">
        <v>#N/A N/A</v>
        <stp/>
        <stp>BDP|13498964787851110222</stp>
        <tr r="AK28" s="1"/>
      </tp>
      <tp t="s">
        <v>#N/A N/A</v>
        <stp/>
        <stp>BDP|14364821488817457548</stp>
        <tr r="P24" s="1"/>
      </tp>
      <tp t="s">
        <v>#N/A N/A</v>
        <stp/>
        <stp>BDP|16575354203187872423</stp>
        <tr r="AA24" s="1"/>
      </tp>
      <tp t="s">
        <v>#N/A N/A</v>
        <stp/>
        <stp>BDP|14362804129948094028</stp>
        <tr r="S20" s="1"/>
      </tp>
      <tp t="s">
        <v>#N/A N/A</v>
        <stp/>
        <stp>BDP|17621935488323410314</stp>
        <tr r="W17" s="1"/>
      </tp>
      <tp t="s">
        <v>#N/A N/A</v>
        <stp/>
        <stp>BDP|11553259984289894474</stp>
        <tr r="G19" s="1"/>
      </tp>
      <tp t="s">
        <v>#N/A N/A</v>
        <stp/>
        <stp>BDP|15389399734165661630</stp>
        <tr r="V25" s="1"/>
      </tp>
      <tp t="s">
        <v>#N/A N/A</v>
        <stp/>
        <stp>BDP|16299188603741785034</stp>
        <tr r="S10" s="1"/>
      </tp>
      <tp t="s">
        <v>#N/A N/A</v>
        <stp/>
        <stp>BDP|15311771412313803629</stp>
        <tr r="AE22" s="1"/>
      </tp>
      <tp t="s">
        <v>#N/A N/A</v>
        <stp/>
        <stp>BDP|15024437157000065289</stp>
        <tr r="M26" s="1"/>
      </tp>
      <tp t="s">
        <v>#N/A N/A</v>
        <stp/>
        <stp>BDP|12734375249071576204</stp>
        <tr r="AA20" s="1"/>
      </tp>
      <tp t="s">
        <v>#N/A N/A</v>
        <stp/>
        <stp>BDP|15761007679501038514</stp>
        <tr r="M9" s="1"/>
      </tp>
      <tp t="s">
        <v>#N/A N/A</v>
        <stp/>
        <stp>BDP|12313184142856571725</stp>
        <tr r="F21" s="1"/>
      </tp>
      <tp t="s">
        <v>#N/A N/A</v>
        <stp/>
        <stp>BDP|11655141938693639622</stp>
        <tr r="X23" s="1"/>
      </tp>
      <tp t="s">
        <v>#N/A N/A</v>
        <stp/>
        <stp>BDP|13558503304355926565</stp>
        <tr r="AK26" s="1"/>
      </tp>
      <tp t="s">
        <v>#N/A N/A</v>
        <stp/>
        <stp>BDP|11617530072381384457</stp>
        <tr r="AA14" s="1"/>
        <tr r="AA13" s="1"/>
      </tp>
      <tp t="s">
        <v>#N/A N/A</v>
        <stp/>
        <stp>BDP|16368321823049739845</stp>
        <tr r="O9" s="1"/>
      </tp>
      <tp t="s">
        <v>#N/A N/A</v>
        <stp/>
        <stp>BDP|17306136603241562172</stp>
        <tr r="M5" s="1"/>
      </tp>
      <tp t="s">
        <v>#N/A N/A</v>
        <stp/>
        <stp>BDP|13866737138812511362</stp>
        <tr r="O17" s="1"/>
      </tp>
      <tp t="s">
        <v>#N/A N/A</v>
        <stp/>
        <stp>BDP|10050487262833944732</stp>
        <tr r="AH22" s="1"/>
      </tp>
      <tp t="s">
        <v>#N/A N/A</v>
        <stp/>
        <stp>BDP|10115125202053264435</stp>
        <tr r="H15" s="1"/>
      </tp>
      <tp t="s">
        <v>#N/A N/A</v>
        <stp/>
        <stp>BDP|18069955561152406339</stp>
        <tr r="AK25" s="1"/>
      </tp>
      <tp t="s">
        <v>#N/A N/A</v>
        <stp/>
        <stp>BDP|12736177494675784909</stp>
        <tr r="N2" s="1"/>
      </tp>
      <tp t="s">
        <v>#N/A N/A</v>
        <stp/>
        <stp>BDP|17662215050734338268</stp>
        <tr r="N27" s="1"/>
      </tp>
      <tp t="s">
        <v>#N/A N/A</v>
        <stp/>
        <stp>BDP|11176192207110271688</stp>
        <tr r="L20" s="1"/>
      </tp>
      <tp t="s">
        <v>#N/A N/A</v>
        <stp/>
        <stp>BDP|16134602577246505768</stp>
        <tr r="S2" s="1"/>
      </tp>
      <tp t="s">
        <v>#N/A N/A</v>
        <stp/>
        <stp>BDP|15410798862160253288</stp>
        <tr r="W15" s="1"/>
      </tp>
      <tp t="s">
        <v>#N/A N/A</v>
        <stp/>
        <stp>BDP|14868190538360506091</stp>
        <tr r="L8" s="1"/>
      </tp>
      <tp t="s">
        <v>#N/A N/A</v>
        <stp/>
        <stp>BDP|16491381919217092529</stp>
        <tr r="Q16" s="1"/>
      </tp>
      <tp t="s">
        <v>#N/A N/A</v>
        <stp/>
        <stp>BDP|15266588841014861650</stp>
        <tr r="AB24" s="1"/>
      </tp>
      <tp t="s">
        <v>#N/A N/A</v>
        <stp/>
        <stp>BDP|11251648988081600917</stp>
        <tr r="Y17" s="1"/>
      </tp>
      <tp t="s">
        <v>#N/A N/A</v>
        <stp/>
        <stp>BDP|15622638655332120384</stp>
        <tr r="B8" s="1"/>
      </tp>
      <tp t="s">
        <v>#N/A N/A</v>
        <stp/>
        <stp>BDP|10108692109991965007</stp>
        <tr r="AA29" s="1"/>
      </tp>
      <tp t="s">
        <v>#N/A N/A</v>
        <stp/>
        <stp>BDP|13450587487049198028</stp>
        <tr r="AK19" s="1"/>
      </tp>
      <tp t="s">
        <v>#N/A N/A</v>
        <stp/>
        <stp>BDP|15566293335206268531</stp>
        <tr r="Q23" s="1"/>
      </tp>
      <tp t="s">
        <v>#N/A N/A</v>
        <stp/>
        <stp>BDP|10763971509656676844</stp>
        <tr r="AG16" s="1"/>
      </tp>
      <tp t="s">
        <v>#N/A N/A</v>
        <stp/>
        <stp>BDP|10780736224020960232</stp>
        <tr r="AE28" s="1"/>
      </tp>
      <tp t="s">
        <v>#N/A N/A</v>
        <stp/>
        <stp>BDP|14498102112766477584</stp>
        <tr r="W23" s="1"/>
      </tp>
      <tp t="s">
        <v>#N/A N/A</v>
        <stp/>
        <stp>BDP|14310770432925873242</stp>
        <tr r="AK17" s="1"/>
      </tp>
      <tp t="s">
        <v>#N/A N/A</v>
        <stp/>
        <stp>BDP|11655753448782340729</stp>
        <tr r="AF23" s="1"/>
      </tp>
      <tp t="s">
        <v>#N/A N/A</v>
        <stp/>
        <stp>BDP|14216137329872760232</stp>
        <tr r="T27" s="1"/>
      </tp>
      <tp t="s">
        <v>#N/A N/A</v>
        <stp/>
        <stp>BDP|18165387823018207645</stp>
        <tr r="N20" s="1"/>
      </tp>
      <tp t="s">
        <v>#N/A N/A</v>
        <stp/>
        <stp>BDP|15033066375602418785</stp>
        <tr r="J23" s="1"/>
      </tp>
      <tp t="s">
        <v>#N/A N/A</v>
        <stp/>
        <stp>BDP|11277655360275125395</stp>
        <tr r="AD27" s="1"/>
      </tp>
      <tp t="s">
        <v>#N/A N/A</v>
        <stp/>
        <stp>BDP|17801100444042206701</stp>
        <tr r="P28" s="1"/>
      </tp>
      <tp t="s">
        <v>#N/A N/A</v>
        <stp/>
        <stp>BDP|12063068516120707498</stp>
        <tr r="AL25" s="1"/>
      </tp>
      <tp t="s">
        <v>#N/A N/A</v>
        <stp/>
        <stp>BDP|12568249475549081959</stp>
        <tr r="I12" s="1"/>
      </tp>
      <tp t="s">
        <v>#N/A N/A</v>
        <stp/>
        <stp>BDP|16245825076756507822</stp>
        <tr r="K17" s="1"/>
      </tp>
      <tp t="s">
        <v>#N/A N/A</v>
        <stp/>
        <stp>BDP|17397179025673188007</stp>
        <tr r="F22" s="1"/>
      </tp>
      <tp t="s">
        <v>#N/A N/A</v>
        <stp/>
        <stp>BDP|14765034153562308448</stp>
        <tr r="J19" s="1"/>
      </tp>
      <tp t="s">
        <v>#N/A N/A</v>
        <stp/>
        <stp>BDP|17014536721561240630</stp>
        <tr r="AG14" s="1"/>
        <tr r="AG13" s="1"/>
      </tp>
      <tp t="s">
        <v>#N/A N/A</v>
        <stp/>
        <stp>BDP|12530715073875422009</stp>
        <tr r="AK16" s="1"/>
      </tp>
      <tp t="s">
        <v>#N/A N/A</v>
        <stp/>
        <stp>BDP|11365611034490213376</stp>
        <tr r="M22" s="1"/>
      </tp>
      <tp t="s">
        <v>#N/A N/A</v>
        <stp/>
        <stp>BDP|14431811325371173842</stp>
        <tr r="AM22" s="1"/>
      </tp>
      <tp t="s">
        <v>#N/A N/A</v>
        <stp/>
        <stp>BDP|11617198141802936138</stp>
        <tr r="Z6" s="1"/>
      </tp>
      <tp t="s">
        <v>#N/A N/A</v>
        <stp/>
        <stp>BDP|13776123632437338139</stp>
        <tr r="I19" s="1"/>
      </tp>
      <tp t="s">
        <v>#N/A N/A</v>
        <stp/>
        <stp>BDP|14080704785794517874</stp>
        <tr r="AA15" s="1"/>
      </tp>
      <tp t="s">
        <v>#N/A N/A</v>
        <stp/>
        <stp>BDP|10896710441467871378</stp>
        <tr r="AL8" s="1"/>
      </tp>
      <tp t="s">
        <v>#N/A N/A</v>
        <stp/>
        <stp>BDP|14815579068638781873</stp>
        <tr r="T14" s="1"/>
        <tr r="T13" s="1"/>
      </tp>
      <tp t="s">
        <v>#N/A N/A</v>
        <stp/>
        <stp>BDP|18226026241398044378</stp>
        <tr r="P21" s="1"/>
      </tp>
      <tp t="s">
        <v>#N/A N/A</v>
        <stp/>
        <stp>BDP|17924571774752261319</stp>
        <tr r="Z21" s="1"/>
      </tp>
      <tp t="s">
        <v>#N/A N/A</v>
        <stp/>
        <stp>BDP|10797350919986312017</stp>
        <tr r="Q11" s="1"/>
      </tp>
      <tp t="s">
        <v>#N/A N/A</v>
        <stp/>
        <stp>BDP|13311324004277581385</stp>
        <tr r="AC8" s="1"/>
      </tp>
      <tp t="s">
        <v>#N/A N/A</v>
        <stp/>
        <stp>BDP|16888729449015376482</stp>
        <tr r="S24" s="1"/>
      </tp>
      <tp t="s">
        <v>#N/A N/A</v>
        <stp/>
        <stp>BDP|14091035007919955960</stp>
        <tr r="R24" s="1"/>
      </tp>
      <tp t="s">
        <v>#N/A N/A</v>
        <stp/>
        <stp>BDP|15287535818223301675</stp>
        <tr r="H25" s="1"/>
      </tp>
      <tp t="s">
        <v>#N/A N/A</v>
        <stp/>
        <stp>BDP|15182610292909916743</stp>
        <tr r="D9" s="1"/>
      </tp>
      <tp t="s">
        <v>#N/A N/A</v>
        <stp/>
        <stp>BDP|18219946943082261383</stp>
        <tr r="X18" s="1"/>
      </tp>
      <tp t="s">
        <v>#N/A N/A</v>
        <stp/>
        <stp>BDP|12964155377108764830</stp>
        <tr r="H18" s="1"/>
      </tp>
      <tp t="s">
        <v>#N/A N/A</v>
        <stp/>
        <stp>BDP|10627587670102121410</stp>
        <tr r="R10" s="1"/>
      </tp>
      <tp t="s">
        <v>#N/A N/A</v>
        <stp/>
        <stp>BDP|17288902412688443343</stp>
        <tr r="AB2" s="1"/>
      </tp>
      <tp t="s">
        <v>#N/A N/A</v>
        <stp/>
        <stp>BDP|18148391581911072695</stp>
        <tr r="I29" s="1"/>
      </tp>
      <tp t="s">
        <v>#N/A N/A</v>
        <stp/>
        <stp>BDP|16919127168830482578</stp>
        <tr r="V6" s="1"/>
      </tp>
      <tp t="s">
        <v>#N/A N/A</v>
        <stp/>
        <stp>BDP|12198318552518042823</stp>
        <tr r="G9" s="1"/>
      </tp>
      <tp t="s">
        <v>#N/A N/A</v>
        <stp/>
        <stp>BDP|10585306509187627099</stp>
        <tr r="AA2" s="1"/>
      </tp>
      <tp t="s">
        <v>#N/A N/A</v>
        <stp/>
        <stp>BDP|15420104176186493143</stp>
        <tr r="C21" s="1"/>
      </tp>
      <tp t="s">
        <v>#N/A N/A</v>
        <stp/>
        <stp>BDP|11024255431007178373</stp>
        <tr r="E7" s="1"/>
      </tp>
      <tp t="s">
        <v>#N/A N/A</v>
        <stp/>
        <stp>BDP|15563494448153935289</stp>
        <tr r="H12" s="1"/>
      </tp>
      <tp t="s">
        <v>#N/A N/A</v>
        <stp/>
        <stp>BDP|12289310408931700492</stp>
        <tr r="T23" s="1"/>
      </tp>
      <tp t="s">
        <v>#N/A N/A</v>
        <stp/>
        <stp>BDP|16838443962259253987</stp>
        <tr r="E18" s="1"/>
      </tp>
      <tp t="s">
        <v>#N/A N/A</v>
        <stp/>
        <stp>BDP|12707836296170459724</stp>
        <tr r="Z9" s="1"/>
      </tp>
      <tp t="s">
        <v>#N/A N/A</v>
        <stp/>
        <stp>BDP|13065432402774611711</stp>
        <tr r="B5" s="1"/>
      </tp>
      <tp t="s">
        <v>#N/A N/A</v>
        <stp/>
        <stp>BDP|14857790223401253466</stp>
        <tr r="Q26" s="1"/>
      </tp>
      <tp t="s">
        <v>#N/A N/A</v>
        <stp/>
        <stp>BDP|15563059329010975369</stp>
        <tr r="AJ22" s="1"/>
      </tp>
      <tp t="s">
        <v>#N/A N/A</v>
        <stp/>
        <stp>BDP|13023296315165305071</stp>
        <tr r="AE2" s="1"/>
      </tp>
      <tp t="s">
        <v>#N/A N/A</v>
        <stp/>
        <stp>BDP|17977120476980448429</stp>
        <tr r="F23" s="1"/>
      </tp>
      <tp t="s">
        <v>#N/A N/A</v>
        <stp/>
        <stp>BDP|11019365030196470289</stp>
        <tr r="AI20" s="1"/>
      </tp>
      <tp t="s">
        <v>#N/A N/A</v>
        <stp/>
        <stp>BDP|13479944193183179586</stp>
        <tr r="Y26" s="1"/>
      </tp>
      <tp t="s">
        <v>#N/A N/A</v>
        <stp/>
        <stp>BDP|11665723079237150362</stp>
        <tr r="AK29" s="1"/>
      </tp>
      <tp t="s">
        <v>#N/A N/A</v>
        <stp/>
        <stp>BDP|16596014204862427193</stp>
        <tr r="AA11" s="1"/>
      </tp>
      <tp t="s">
        <v>#N/A N/A</v>
        <stp/>
        <stp>BDP|17435184283779170220</stp>
        <tr r="R29" s="1"/>
      </tp>
      <tp t="s">
        <v>#N/A N/A</v>
        <stp/>
        <stp>BDP|11863007181694243875</stp>
        <tr r="Y23" s="1"/>
      </tp>
      <tp t="s">
        <v>#N/A N/A</v>
        <stp/>
        <stp>BDP|17377610969891220359</stp>
        <tr r="N14" s="1"/>
        <tr r="N13" s="1"/>
      </tp>
      <tp t="s">
        <v>#N/A N/A</v>
        <stp/>
        <stp>BDP|13151582491672721837</stp>
        <tr r="K20" s="1"/>
      </tp>
      <tp t="s">
        <v>#N/A N/A</v>
        <stp/>
        <stp>BDP|11785780977474641019</stp>
        <tr r="G22" s="1"/>
      </tp>
      <tp t="s">
        <v>#N/A N/A</v>
        <stp/>
        <stp>BDP|12399946118889670661</stp>
        <tr r="AL19" s="1"/>
      </tp>
      <tp t="s">
        <v>#N/A N/A</v>
        <stp/>
        <stp>BDP|12160001841443826076</stp>
        <tr r="Q20" s="1"/>
      </tp>
      <tp t="s">
        <v>#N/A N/A</v>
        <stp/>
        <stp>BDP|12044930641839597382</stp>
        <tr r="W28" s="1"/>
      </tp>
      <tp t="s">
        <v>#N/A N/A</v>
        <stp/>
        <stp>BDP|11503531567892651588</stp>
        <tr r="E12" s="1"/>
      </tp>
      <tp t="s">
        <v>#N/A N/A</v>
        <stp/>
        <stp>BDP|12416602259762416687</stp>
        <tr r="AI10" s="1"/>
      </tp>
      <tp t="s">
        <v>#N/A N/A</v>
        <stp/>
        <stp>BDP|11176367114334371205</stp>
        <tr r="S23" s="1"/>
      </tp>
      <tp t="s">
        <v>#N/A N/A</v>
        <stp/>
        <stp>BDP|12142617765031732621</stp>
        <tr r="U8" s="1"/>
      </tp>
      <tp t="s">
        <v>#N/A N/A</v>
        <stp/>
        <stp>BDP|12860086657953080175</stp>
        <tr r="O21" s="1"/>
      </tp>
      <tp t="s">
        <v>#N/A N/A</v>
        <stp/>
        <stp>BDP|11636492274993908405</stp>
        <tr r="F19" s="1"/>
      </tp>
      <tp t="s">
        <v>#N/A N/A</v>
        <stp/>
        <stp>BDP|11401548616416116626</stp>
        <tr r="I28" s="1"/>
      </tp>
      <tp t="s">
        <v>#N/A N/A</v>
        <stp/>
        <stp>BDP|12970939942493583982</stp>
        <tr r="C17" s="1"/>
      </tp>
      <tp t="s">
        <v>#N/A N/A</v>
        <stp/>
        <stp>BDP|10038774667224401031</stp>
        <tr r="M19" s="1"/>
      </tp>
      <tp t="s">
        <v>#N/A N/A</v>
        <stp/>
        <stp>BDP|12459699966056425198</stp>
        <tr r="AF26" s="1"/>
      </tp>
    </main>
    <main first="bofaddin.rtdserver">
      <tp t="s">
        <v>#N/A N/A</v>
        <stp/>
        <stp>BDP|3978962583879298744</stp>
        <tr r="AI14" s="1"/>
        <tr r="AI13" s="1"/>
      </tp>
      <tp t="s">
        <v>#N/A N/A</v>
        <stp/>
        <stp>BDP|5590077383974265596</stp>
        <tr r="AK11" s="1"/>
      </tp>
      <tp t="s">
        <v>#N/A N/A</v>
        <stp/>
        <stp>BDP|5165888521695288606</stp>
        <tr r="Q6" s="1"/>
      </tp>
      <tp t="s">
        <v>#N/A N/A</v>
        <stp/>
        <stp>BDP|8993378253015762716</stp>
        <tr r="O11" s="1"/>
      </tp>
      <tp t="s">
        <v>#N/A N/A</v>
        <stp/>
        <stp>BDP|5606002408481551802</stp>
        <tr r="B2" s="2"/>
      </tp>
      <tp t="s">
        <v>#N/A N/A</v>
        <stp/>
        <stp>BDP|7968756884084239015</stp>
        <tr r="U17" s="1"/>
      </tp>
      <tp t="s">
        <v>#N/A N/A</v>
        <stp/>
        <stp>BDP|3063492440188368722</stp>
        <tr r="M17" s="1"/>
      </tp>
      <tp t="s">
        <v>#N/A N/A</v>
        <stp/>
        <stp>BDP|9683257872363960313</stp>
        <tr r="Q22" s="1"/>
      </tp>
      <tp t="s">
        <v>#N/A N/A</v>
        <stp/>
        <stp>BDP|8993633123566548657</stp>
        <tr r="AM6" s="1"/>
      </tp>
      <tp t="s">
        <v>#N/A N/A</v>
        <stp/>
        <stp>BDP|5757594773842539915</stp>
        <tr r="U18" s="1"/>
      </tp>
      <tp t="s">
        <v>#N/A N/A</v>
        <stp/>
        <stp>BDP|8962229669616390683</stp>
        <tr r="K21" s="1"/>
      </tp>
      <tp t="s">
        <v>#N/A N/A</v>
        <stp/>
        <stp>BDP|5525880838714921627</stp>
        <tr r="T2" s="1"/>
      </tp>
      <tp t="s">
        <v>#N/A N/A</v>
        <stp/>
        <stp>BDP|9066682534538742852</stp>
        <tr r="P26" s="1"/>
      </tp>
      <tp t="s">
        <v>#N/A N/A</v>
        <stp/>
        <stp>BDP|5598629518209235729</stp>
        <tr r="AD26" s="1"/>
      </tp>
      <tp t="s">
        <v>#N/A N/A</v>
        <stp/>
        <stp>BDP|7611713239626612970</stp>
        <tr r="D7" s="1"/>
      </tp>
      <tp t="s">
        <v>#N/A N/A</v>
        <stp/>
        <stp>BDP|9931969051388542175</stp>
        <tr r="AG12" s="1"/>
      </tp>
      <tp t="s">
        <v>#N/A N/A</v>
        <stp/>
        <stp>BDP|5830269583627162410</stp>
        <tr r="Y27" s="1"/>
      </tp>
      <tp t="s">
        <v>#N/A N/A</v>
        <stp/>
        <stp>BDP|9742003275914644696</stp>
        <tr r="AM27" s="1"/>
      </tp>
      <tp t="s">
        <v>#N/A N/A</v>
        <stp/>
        <stp>BDP|6980866135520632114</stp>
        <tr r="X25" s="1"/>
      </tp>
      <tp t="s">
        <v>#N/A N/A</v>
        <stp/>
        <stp>BDP|4690485435078224741</stp>
        <tr r="AD25" s="1"/>
      </tp>
      <tp t="s">
        <v>#N/A N/A</v>
        <stp/>
        <stp>BDP|6548886511690255330</stp>
        <tr r="B26" s="1"/>
      </tp>
      <tp t="s">
        <v>#N/A N/A</v>
        <stp/>
        <stp>BDP|1820591123583847985</stp>
        <tr r="K2" s="1"/>
      </tp>
      <tp t="s">
        <v>#N/A N/A</v>
        <stp/>
        <stp>BDP|6288561199303824559</stp>
        <tr r="H28" s="1"/>
      </tp>
      <tp t="s">
        <v>#N/A N/A</v>
        <stp/>
        <stp>BDP|2768587949667016862</stp>
        <tr r="W24" s="1"/>
      </tp>
      <tp t="s">
        <v>#N/A N/A</v>
        <stp/>
        <stp>BDP|8052621363281223529</stp>
        <tr r="Q9" s="1"/>
      </tp>
      <tp t="s">
        <v>#N/A N/A</v>
        <stp/>
        <stp>BDP|3343428364918323503</stp>
        <tr r="O13" s="1"/>
        <tr r="O14" s="1"/>
      </tp>
      <tp t="s">
        <v>#N/A N/A</v>
        <stp/>
        <stp>BDP|5244267747426736922</stp>
        <tr r="M15" s="1"/>
      </tp>
      <tp t="s">
        <v>#N/A N/A</v>
        <stp/>
        <stp>BDP|7576524380023773551</stp>
        <tr r="AJ28" s="1"/>
      </tp>
      <tp t="s">
        <v>#N/A N/A</v>
        <stp/>
        <stp>BDP|3245705300909823011</stp>
        <tr r="S13" s="1"/>
        <tr r="S14" s="1"/>
      </tp>
      <tp t="s">
        <v>#N/A N/A</v>
        <stp/>
        <stp>BDP|9589523998601021941</stp>
        <tr r="AE27" s="1"/>
      </tp>
      <tp t="s">
        <v>#N/A N/A</v>
        <stp/>
        <stp>BDP|4504109389332505210</stp>
        <tr r="C15" s="1"/>
      </tp>
      <tp t="s">
        <v>#N/A N/A</v>
        <stp/>
        <stp>BDP|4443072614679738180</stp>
        <tr r="T29" s="1"/>
      </tp>
      <tp t="s">
        <v>#N/A N/A</v>
        <stp/>
        <stp>BDP|4844364986087714577</stp>
        <tr r="N15" s="1"/>
      </tp>
      <tp t="s">
        <v>#N/A N/A</v>
        <stp/>
        <stp>BDP|7058157969014085956</stp>
        <tr r="P23" s="1"/>
      </tp>
      <tp t="s">
        <v>#N/A N/A</v>
        <stp/>
        <stp>BDP|3185766936182988817</stp>
        <tr r="AI26" s="1"/>
      </tp>
      <tp t="s">
        <v>#N/A N/A</v>
        <stp/>
        <stp>BDP|2776950102983847563</stp>
        <tr r="AE6" s="1"/>
      </tp>
      <tp t="s">
        <v>#N/A N/A</v>
        <stp/>
        <stp>BDP|9780698275340349567</stp>
        <tr r="AE16" s="1"/>
      </tp>
      <tp t="s">
        <v>#N/A N/A</v>
        <stp/>
        <stp>BDP|9531913528379304600</stp>
        <tr r="Q7" s="1"/>
      </tp>
      <tp t="s">
        <v>#N/A N/A</v>
        <stp/>
        <stp>BDP|5313728449893265864</stp>
        <tr r="L17" s="1"/>
      </tp>
      <tp t="s">
        <v>#N/A N/A</v>
        <stp/>
        <stp>BDP|9342706140575195205</stp>
        <tr r="L27" s="1"/>
      </tp>
      <tp t="s">
        <v>#N/A N/A</v>
        <stp/>
        <stp>BDP|3943263226669394785</stp>
        <tr r="I10" s="1"/>
      </tp>
      <tp t="s">
        <v>#N/A N/A</v>
        <stp/>
        <stp>BDP|8589110800612780619</stp>
        <tr r="AL21" s="1"/>
      </tp>
      <tp t="s">
        <v>#N/A N/A</v>
        <stp/>
        <stp>BDP|5180405786484224079</stp>
        <tr r="AL6" s="1"/>
      </tp>
      <tp t="s">
        <v>#N/A N/A</v>
        <stp/>
        <stp>BDP|3566956812385839392</stp>
        <tr r="N9" s="1"/>
      </tp>
      <tp t="s">
        <v>#N/A N/A</v>
        <stp/>
        <stp>BDP|4546117042784706810</stp>
        <tr r="Q15" s="1"/>
      </tp>
      <tp t="s">
        <v>#N/A N/A</v>
        <stp/>
        <stp>BDP|8379918434049458642</stp>
        <tr r="X12" s="1"/>
      </tp>
      <tp t="s">
        <v>#N/A N/A</v>
        <stp/>
        <stp>BDP|4748324581810456262</stp>
        <tr r="V24" s="1"/>
      </tp>
      <tp t="s">
        <v>#N/A N/A</v>
        <stp/>
        <stp>BDP|7559262633733710808</stp>
        <tr r="W29" s="1"/>
      </tp>
      <tp t="s">
        <v>#N/A N/A</v>
        <stp/>
        <stp>BDP|1529567366719108632</stp>
        <tr r="AG17" s="1"/>
      </tp>
      <tp t="s">
        <v>#N/A N/A</v>
        <stp/>
        <stp>BDP|6394522364181407957</stp>
        <tr r="AD12" s="1"/>
      </tp>
      <tp t="s">
        <v>#N/A N/A</v>
        <stp/>
        <stp>BDP|7181316587383314201</stp>
        <tr r="Y29" s="1"/>
      </tp>
      <tp t="s">
        <v>#N/A N/A</v>
        <stp/>
        <stp>BDP|6599658016648179434</stp>
        <tr r="O8" s="1"/>
      </tp>
      <tp t="s">
        <v>#N/A N/A</v>
        <stp/>
        <stp>BDP|3807148519499208738</stp>
        <tr r="E15" s="1"/>
      </tp>
      <tp t="s">
        <v>#N/A N/A</v>
        <stp/>
        <stp>BDP|6294931383581807808</stp>
        <tr r="X13" s="1"/>
        <tr r="X14" s="1"/>
      </tp>
      <tp t="s">
        <v>#N/A N/A</v>
        <stp/>
        <stp>BDP|9436871179429229122</stp>
        <tr r="T22" s="1"/>
      </tp>
      <tp t="s">
        <v>#N/A N/A</v>
        <stp/>
        <stp>BDP|2064534521418948314</stp>
        <tr r="H17" s="1"/>
      </tp>
      <tp t="s">
        <v>#N/A N/A</v>
        <stp/>
        <stp>BDP|8666187740674664733</stp>
        <tr r="AG26" s="1"/>
      </tp>
      <tp t="s">
        <v>#N/A N/A</v>
        <stp/>
        <stp>BDP|4052145411662467899</stp>
        <tr r="I8" s="1"/>
      </tp>
      <tp t="s">
        <v>#N/A N/A</v>
        <stp/>
        <stp>BDP|7868872502934049551</stp>
        <tr r="U16" s="1"/>
      </tp>
      <tp t="s">
        <v>#N/A N/A</v>
        <stp/>
        <stp>BDP|6362400180121351580</stp>
        <tr r="D2" s="1"/>
        <tr r="C2" s="1"/>
        <tr r="B2" s="1"/>
      </tp>
      <tp t="s">
        <v>#N/A N/A</v>
        <stp/>
        <stp>BDP|1464528487754133694</stp>
        <tr r="H19" s="1"/>
      </tp>
      <tp t="s">
        <v>#N/A N/A</v>
        <stp/>
        <stp>BDP|9617107057463120092</stp>
        <tr r="G7" s="1"/>
      </tp>
      <tp t="s">
        <v>#N/A N/A</v>
        <stp/>
        <stp>BDP|6401023916958706191</stp>
        <tr r="U19" s="1"/>
      </tp>
      <tp t="s">
        <v>#N/A N/A</v>
        <stp/>
        <stp>BDP|3810168404165049940</stp>
        <tr r="W22" s="1"/>
      </tp>
      <tp t="s">
        <v>#N/A N/A</v>
        <stp/>
        <stp>BDP|9530194086797250965</stp>
        <tr r="O10" s="1"/>
      </tp>
      <tp t="s">
        <v>#N/A N/A</v>
        <stp/>
        <stp>BDP|1599189283484544254</stp>
        <tr r="N12" s="1"/>
      </tp>
      <tp t="s">
        <v>#N/A N/A</v>
        <stp/>
        <stp>BDP|1421289300359710440</stp>
        <tr r="S12" s="1"/>
      </tp>
      <tp t="s">
        <v>#N/A N/A</v>
        <stp/>
        <stp>BDP|9952982502579995750</stp>
        <tr r="O19" s="1"/>
      </tp>
      <tp t="s">
        <v>#N/A N/A</v>
        <stp/>
        <stp>BDP|5786285582749504876</stp>
        <tr r="H27" s="1"/>
      </tp>
      <tp t="s">
        <v>#N/A N/A</v>
        <stp/>
        <stp>BDP|8523396944746171757</stp>
        <tr r="J24" s="1"/>
      </tp>
      <tp t="s">
        <v>#N/A N/A</v>
        <stp/>
        <stp>BDP|9350864542302850935</stp>
        <tr r="Y5" s="1"/>
      </tp>
      <tp t="s">
        <v>#N/A N/A</v>
        <stp/>
        <stp>BDP|6779987400703643248</stp>
        <tr r="AA7" s="1"/>
      </tp>
      <tp t="s">
        <v>#N/A N/A</v>
        <stp/>
        <stp>BDP|2588988132544177238</stp>
        <tr r="G5" s="1"/>
      </tp>
      <tp t="s">
        <v>#N/A N/A</v>
        <stp/>
        <stp>BDP|8807579953971682789</stp>
        <tr r="AH7" s="1"/>
      </tp>
      <tp t="s">
        <v>#N/A N/A</v>
        <stp/>
        <stp>BDP|8555212701410296441</stp>
        <tr r="AI25" s="1"/>
      </tp>
      <tp t="s">
        <v>#N/A N/A</v>
        <stp/>
        <stp>BDP|3536854858338223898</stp>
        <tr r="I15" s="1"/>
      </tp>
      <tp t="s">
        <v>#N/A N/A</v>
        <stp/>
        <stp>BDP|8224883539878390503</stp>
        <tr r="Y8" s="1"/>
      </tp>
      <tp t="s">
        <v>#N/A N/A</v>
        <stp/>
        <stp>BDP|9792184554393382083</stp>
        <tr r="W16" s="1"/>
      </tp>
      <tp t="s">
        <v>#N/A N/A</v>
        <stp/>
        <stp>BDP|6405889259085396070</stp>
        <tr r="Y15" s="1"/>
      </tp>
      <tp t="s">
        <v>#N/A N/A</v>
        <stp/>
        <stp>BDP|1675848421732290702</stp>
        <tr r="U2" s="1"/>
      </tp>
      <tp t="s">
        <v>#N/A N/A</v>
        <stp/>
        <stp>BDP|1247075395711199777</stp>
        <tr r="O29" s="1"/>
      </tp>
      <tp t="s">
        <v>#N/A N/A</v>
        <stp/>
        <stp>BDP|6335955530405124710</stp>
        <tr r="B19" s="1"/>
      </tp>
      <tp t="s">
        <v>#N/A N/A</v>
        <stp/>
        <stp>BDP|5862826303024603789</stp>
        <tr r="AG25" s="1"/>
      </tp>
      <tp t="s">
        <v>#N/A N/A</v>
        <stp/>
        <stp>BDP|5223937530500752118</stp>
        <tr r="AE17" s="1"/>
      </tp>
      <tp t="s">
        <v>#N/A N/A</v>
        <stp/>
        <stp>BDP|1161145433039180436</stp>
        <tr r="K19" s="1"/>
      </tp>
      <tp t="s">
        <v>#N/A N/A</v>
        <stp/>
        <stp>BDP|1061476111992868941</stp>
        <tr r="K6" s="1"/>
      </tp>
      <tp t="s">
        <v>#N/A N/A</v>
        <stp/>
        <stp>BDP|9659747546710991558</stp>
        <tr r="AG29" s="1"/>
      </tp>
      <tp t="s">
        <v>#N/A N/A</v>
        <stp/>
        <stp>BDP|1931511017432484839</stp>
        <tr r="T18" s="1"/>
      </tp>
      <tp t="s">
        <v>#N/A N/A</v>
        <stp/>
        <stp>BDP|5928233665498583636</stp>
        <tr r="E24" s="1"/>
      </tp>
      <tp t="s">
        <v>#N/A N/A</v>
        <stp/>
        <stp>BDP|6424379684631160382</stp>
        <tr r="G16" s="1"/>
      </tp>
      <tp t="s">
        <v>#N/A N/A</v>
        <stp/>
        <stp>BDP|9970626860583736525</stp>
        <tr r="AH28" s="1"/>
      </tp>
      <tp t="s">
        <v>#N/A N/A</v>
        <stp/>
        <stp>BDP|1460193892760920698</stp>
        <tr r="AJ26" s="1"/>
      </tp>
      <tp t="s">
        <v>#N/A N/A</v>
        <stp/>
        <stp>BDP|8544418116412794089</stp>
        <tr r="AF17" s="1"/>
      </tp>
      <tp t="s">
        <v>#N/A N/A</v>
        <stp/>
        <stp>BDP|7356225548878623621</stp>
        <tr r="O22" s="1"/>
      </tp>
      <tp t="s">
        <v>#N/A N/A</v>
        <stp/>
        <stp>BDP|9677576128606523710</stp>
        <tr r="R11" s="1"/>
      </tp>
      <tp t="s">
        <v>#N/A N/A</v>
        <stp/>
        <stp>BDP|1985072787200266697</stp>
        <tr r="AJ2" s="1"/>
      </tp>
      <tp t="s">
        <v>#N/A N/A</v>
        <stp/>
        <stp>BDP|2230966429125601384</stp>
        <tr r="C27" s="1"/>
      </tp>
      <tp t="s">
        <v>#N/A N/A</v>
        <stp/>
        <stp>BDP|3269644575724313937</stp>
        <tr r="R23" s="1"/>
      </tp>
      <tp t="s">
        <v>#N/A N/A</v>
        <stp/>
        <stp>BDP|7559629684102736446</stp>
        <tr r="E19" s="1"/>
      </tp>
      <tp t="s">
        <v>#N/A N/A</v>
        <stp/>
        <stp>BDP|7565816280608702035</stp>
        <tr r="Q17" s="1"/>
      </tp>
      <tp t="s">
        <v>#N/A N/A</v>
        <stp/>
        <stp>BDP|9998696948380833414</stp>
        <tr r="W10" s="1"/>
      </tp>
      <tp t="s">
        <v>#N/A N/A</v>
        <stp/>
        <stp>BDP|9904063777352875316</stp>
        <tr r="AG11" s="1"/>
      </tp>
      <tp t="s">
        <v>#N/A N/A</v>
        <stp/>
        <stp>BDP|4402171143116719813</stp>
        <tr r="D18" s="1"/>
      </tp>
      <tp t="s">
        <v>#N/A N/A</v>
        <stp/>
        <stp>BDP|9694743239651863346</stp>
        <tr r="T20" s="1"/>
      </tp>
      <tp t="s">
        <v>#N/A N/A</v>
        <stp/>
        <stp>BDP|1106127364489922097</stp>
        <tr r="AI7" s="1"/>
      </tp>
      <tp t="s">
        <v>#N/A N/A</v>
        <stp/>
        <stp>BDP|2771059046091508857</stp>
        <tr r="S6" s="1"/>
      </tp>
      <tp t="s">
        <v>#N/A N/A</v>
        <stp/>
        <stp>BDP|6593643273080108872</stp>
        <tr r="L2" s="1"/>
      </tp>
      <tp t="s">
        <v>#N/A N/A</v>
        <stp/>
        <stp>BDP|3587843555807015604</stp>
        <tr r="AG9" s="1"/>
      </tp>
      <tp t="s">
        <v>#N/A N/A</v>
        <stp/>
        <stp>BDP|6240855051297749343</stp>
        <tr r="V17" s="1"/>
      </tp>
      <tp t="s">
        <v>#N/A N/A</v>
        <stp/>
        <stp>BDP|9040665856857986532</stp>
        <tr r="H8" s="1"/>
      </tp>
      <tp t="s">
        <v>#N/A N/A</v>
        <stp/>
        <stp>BDP|4878629420528103030</stp>
        <tr r="X7" s="1"/>
      </tp>
      <tp t="s">
        <v>#N/A N/A</v>
        <stp/>
        <stp>BDP|1457394745168662677</stp>
        <tr r="L29" s="1"/>
      </tp>
      <tp t="s">
        <v>#N/A N/A</v>
        <stp/>
        <stp>BDP|5812895405677294296</stp>
        <tr r="V27" s="1"/>
      </tp>
      <tp t="s">
        <v>#N/A N/A</v>
        <stp/>
        <stp>BDP|3980700395170814585</stp>
        <tr r="X20" s="1"/>
      </tp>
      <tp t="s">
        <v>#N/A N/A</v>
        <stp/>
        <stp>BDP|5526586936069208255</stp>
        <tr r="U21" s="1"/>
      </tp>
      <tp t="s">
        <v>#N/A N/A</v>
        <stp/>
        <stp>BDP|8963242136625137478</stp>
        <tr r="AH19" s="1"/>
      </tp>
      <tp t="s">
        <v>#N/A N/A</v>
        <stp/>
        <stp>BDP|8672789045140566335</stp>
        <tr r="AG24" s="1"/>
      </tp>
      <tp t="s">
        <v>#N/A N/A</v>
        <stp/>
        <stp>BDP|8487810667787576971</stp>
        <tr r="AG22" s="1"/>
      </tp>
      <tp t="s">
        <v>#N/A N/A</v>
        <stp/>
        <stp>BDP|9345692869295573464</stp>
        <tr r="Y13" s="1"/>
        <tr r="Y14" s="1"/>
      </tp>
      <tp t="s">
        <v>#N/A N/A</v>
        <stp/>
        <stp>BDP|6597065657163331863</stp>
        <tr r="Q2" s="1"/>
      </tp>
      <tp t="s">
        <v>#N/A N/A</v>
        <stp/>
        <stp>BDP|5737141146118233063</stp>
        <tr r="AJ11" s="1"/>
      </tp>
      <tp t="s">
        <v>#N/A N/A</v>
        <stp/>
        <stp>BDP|5940916014604951144</stp>
        <tr r="AA27" s="1"/>
      </tp>
      <tp t="s">
        <v>#N/A N/A</v>
        <stp/>
        <stp>BDP|3969892072426356203</stp>
        <tr r="K15" s="1"/>
      </tp>
      <tp t="s">
        <v>#N/A N/A</v>
        <stp/>
        <stp>BDP|4103400221778122275</stp>
        <tr r="H24" s="1"/>
      </tp>
      <tp t="s">
        <v>#N/A N/A</v>
        <stp/>
        <stp>BDP|9863489196129834594</stp>
        <tr r="AC14" s="1"/>
        <tr r="AC13" s="1"/>
      </tp>
      <tp t="s">
        <v>#N/A N/A</v>
        <stp/>
        <stp>BDP|2823522238189483526</stp>
        <tr r="AB7" s="1"/>
      </tp>
      <tp t="s">
        <v>#N/A N/A</v>
        <stp/>
        <stp>BDP|7310906214612066539</stp>
        <tr r="AL22" s="1"/>
      </tp>
      <tp t="s">
        <v>#N/A N/A</v>
        <stp/>
        <stp>BDP|9527366284072334800</stp>
        <tr r="V15" s="1"/>
      </tp>
      <tp t="s">
        <v>#N/A N/A</v>
        <stp/>
        <stp>BDP|1980441193545899122</stp>
        <tr r="F28" s="1"/>
      </tp>
      <tp t="s">
        <v>#N/A N/A</v>
        <stp/>
        <stp>BDP|7589581281680881214</stp>
        <tr r="D20" s="1"/>
      </tp>
      <tp t="s">
        <v>#N/A N/A</v>
        <stp/>
        <stp>BDP|2943495261290908929</stp>
        <tr r="AI17" s="1"/>
      </tp>
      <tp t="s">
        <v>#N/A N/A</v>
        <stp/>
        <stp>BDP|3831216375746509927</stp>
        <tr r="D29" s="1"/>
      </tp>
      <tp t="s">
        <v>#N/A N/A</v>
        <stp/>
        <stp>BDP|8913789038602106738</stp>
        <tr r="P9" s="1"/>
      </tp>
      <tp t="s">
        <v>#N/A N/A</v>
        <stp/>
        <stp>BDP|2601579250842180981</stp>
        <tr r="Q27" s="1"/>
      </tp>
      <tp t="s">
        <v>#N/A N/A</v>
        <stp/>
        <stp>BDP|9211780776672370273</stp>
        <tr r="G10" s="1"/>
      </tp>
      <tp t="s">
        <v>#N/A N/A</v>
        <stp/>
        <stp>BDP|1307747283240994735</stp>
        <tr r="K25" s="1"/>
      </tp>
      <tp t="s">
        <v>#N/A N/A</v>
        <stp/>
        <stp>BDP|5563007359980525971</stp>
        <tr r="K5" s="1"/>
      </tp>
      <tp t="s">
        <v>#N/A N/A</v>
        <stp/>
        <stp>BDP|2252408689964677329</stp>
        <tr r="S26" s="1"/>
      </tp>
      <tp t="s">
        <v>#N/A N/A</v>
        <stp/>
        <stp>BDP|1618927798441798945</stp>
        <tr r="L24" s="1"/>
      </tp>
      <tp t="s">
        <v>#N/A N/A</v>
        <stp/>
        <stp>BDP|3922989279900696419</stp>
        <tr r="H22" s="1"/>
      </tp>
      <tp t="s">
        <v>#N/A N/A</v>
        <stp/>
        <stp>BDP|2491684485514592101</stp>
        <tr r="U5" s="1"/>
      </tp>
      <tp t="s">
        <v>#N/A N/A</v>
        <stp/>
        <stp>BDP|5942207219128979752</stp>
        <tr r="F12" s="1"/>
      </tp>
      <tp t="s">
        <v>#N/A N/A</v>
        <stp/>
        <stp>BDP|4109208597891940725</stp>
        <tr r="AM12" s="1"/>
      </tp>
      <tp t="s">
        <v>#N/A N/A</v>
        <stp/>
        <stp>BDP|9243729887859317694</stp>
        <tr r="Z29" s="1"/>
      </tp>
      <tp t="s">
        <v>#N/A N/A</v>
        <stp/>
        <stp>BDP|9493343820214989546</stp>
        <tr r="H9" s="1"/>
      </tp>
      <tp t="s">
        <v>#N/A N/A</v>
        <stp/>
        <stp>BDP|2525124694283399024</stp>
        <tr r="AH29" s="1"/>
      </tp>
      <tp t="s">
        <v>#N/A N/A</v>
        <stp/>
        <stp>BDP|9248702617966771012</stp>
        <tr r="L12" s="1"/>
      </tp>
      <tp t="s">
        <v>#N/A N/A</v>
        <stp/>
        <stp>BDP|2032759026048443670</stp>
        <tr r="AC19" s="1"/>
      </tp>
      <tp t="s">
        <v>#N/A N/A</v>
        <stp/>
        <stp>BDP|7481230261069793314</stp>
        <tr r="AJ23" s="1"/>
      </tp>
      <tp t="s">
        <v>#N/A N/A</v>
        <stp/>
        <stp>BDP|4145668610142757860</stp>
        <tr r="T10" s="1"/>
      </tp>
      <tp t="s">
        <v>#N/A N/A</v>
        <stp/>
        <stp>BDP|3598448646313393920</stp>
        <tr r="AC5" s="1"/>
      </tp>
      <tp t="s">
        <v>#N/A N/A</v>
        <stp/>
        <stp>BDP|6397619801491164840</stp>
        <tr r="E8" s="1"/>
      </tp>
      <tp t="s">
        <v>#N/A N/A</v>
        <stp/>
        <stp>BDP|4771136295203406636</stp>
        <tr r="R13" s="1"/>
        <tr r="R14" s="1"/>
      </tp>
      <tp t="s">
        <v>#N/A N/A</v>
        <stp/>
        <stp>BDP|2411762932849535624</stp>
        <tr r="AK2" s="1"/>
      </tp>
      <tp t="s">
        <v>#N/A N/A</v>
        <stp/>
        <stp>BDP|5876412163408541680</stp>
        <tr r="F9" s="1"/>
      </tp>
      <tp t="s">
        <v>#N/A N/A</v>
        <stp/>
        <stp>BDP|7356905179159431995</stp>
        <tr r="AM21" s="1"/>
      </tp>
      <tp t="s">
        <v>#N/A N/A</v>
        <stp/>
        <stp>BDP|5996064695984923140</stp>
        <tr r="J12" s="1"/>
      </tp>
      <tp t="s">
        <v>#N/A N/A</v>
        <stp/>
        <stp>BDP|2830870551957338190</stp>
        <tr r="K29" s="1"/>
      </tp>
      <tp t="s">
        <v>#N/A N/A</v>
        <stp/>
        <stp>BDP|1224353848694199840</stp>
        <tr r="AA23" s="1"/>
      </tp>
      <tp t="s">
        <v>#N/A N/A</v>
        <stp/>
        <stp>BDP|1331147284096145481</stp>
        <tr r="Y25" s="1"/>
      </tp>
      <tp t="s">
        <v>#N/A N/A</v>
        <stp/>
        <stp>BDP|6136843243668566895</stp>
        <tr r="M6" s="1"/>
      </tp>
      <tp t="s">
        <v>#N/A N/A</v>
        <stp/>
        <stp>BDP|1310313588391379131</stp>
        <tr r="L26" s="1"/>
      </tp>
      <tp t="s">
        <v>#N/A N/A</v>
        <stp/>
        <stp>BDP|4070855644531925339</stp>
        <tr r="AI8" s="1"/>
      </tp>
      <tp t="s">
        <v>#N/A N/A</v>
        <stp/>
        <stp>BDP|6879819520237408162</stp>
        <tr r="AK23" s="1"/>
      </tp>
      <tp t="s">
        <v>#N/A N/A</v>
        <stp/>
        <stp>BDP|4861662654324324925</stp>
        <tr r="Q24" s="1"/>
      </tp>
      <tp t="s">
        <v>#N/A N/A</v>
        <stp/>
        <stp>BDP|4892928250096529464</stp>
        <tr r="AI22" s="1"/>
      </tp>
      <tp t="s">
        <v>#N/A N/A</v>
        <stp/>
        <stp>BDP|1149980740403440538</stp>
        <tr r="AG15" s="1"/>
      </tp>
      <tp t="s">
        <v>#N/A N/A</v>
        <stp/>
        <stp>BDP|8416949241426802972</stp>
        <tr r="AF29" s="1"/>
      </tp>
      <tp t="s">
        <v>#N/A N/A</v>
        <stp/>
        <stp>BDP|8143237414261169097</stp>
        <tr r="P22" s="1"/>
      </tp>
      <tp t="s">
        <v>#N/A N/A</v>
        <stp/>
        <stp>BDP|5769800563154985529</stp>
        <tr r="X29" s="1"/>
      </tp>
      <tp t="s">
        <v>#N/A N/A</v>
        <stp/>
        <stp>BDP|1262874029675728478</stp>
        <tr r="E22" s="1"/>
      </tp>
      <tp t="s">
        <v>#N/A N/A</v>
        <stp/>
        <stp>BDP|7687235264171572864</stp>
        <tr r="X19" s="1"/>
      </tp>
      <tp t="s">
        <v>#N/A N/A</v>
        <stp/>
        <stp>BDP|7075502581244403476</stp>
        <tr r="Z23" s="1"/>
      </tp>
      <tp t="s">
        <v>#N/A N/A</v>
        <stp/>
        <stp>BDP|8942522558670070215</stp>
        <tr r="G25" s="1"/>
      </tp>
      <tp t="s">
        <v>#N/A N/A</v>
        <stp/>
        <stp>BDP|7813131989603854781</stp>
        <tr r="E29" s="1"/>
      </tp>
      <tp t="s">
        <v>#N/A N/A</v>
        <stp/>
        <stp>BDP|5025623842044389907</stp>
        <tr r="Z5" s="1"/>
      </tp>
      <tp t="s">
        <v>#N/A N/A</v>
        <stp/>
        <stp>BDP|6331080786654779090</stp>
        <tr r="S28" s="1"/>
      </tp>
      <tp t="s">
        <v>#N/A N/A</v>
        <stp/>
        <stp>BDP|9299941746106425832</stp>
        <tr r="AA8" s="1"/>
      </tp>
      <tp t="s">
        <v>#N/A N/A</v>
        <stp/>
        <stp>BDP|3246892476227845121</stp>
        <tr r="R19" s="1"/>
      </tp>
      <tp t="s">
        <v>#N/A N/A</v>
        <stp/>
        <stp>BDP|5409937237631475409</stp>
        <tr r="Q8" s="1"/>
      </tp>
      <tp t="s">
        <v>#N/A N/A</v>
        <stp/>
        <stp>BDP|5725252844338074123</stp>
        <tr r="I17" s="1"/>
      </tp>
      <tp t="s">
        <v>#N/A N/A</v>
        <stp/>
        <stp>BDP|6130801043160547029</stp>
        <tr r="AB8" s="1"/>
      </tp>
      <tp t="s">
        <v>#N/A N/A</v>
        <stp/>
        <stp>BDP|2645811315535518423</stp>
        <tr r="AA25" s="1"/>
      </tp>
      <tp t="s">
        <v>#N/A N/A</v>
        <stp/>
        <stp>BDP|1711417129498294475</stp>
        <tr r="AK8" s="1"/>
      </tp>
      <tp t="s">
        <v>#N/A N/A</v>
        <stp/>
        <stp>BDP|9707122238082386249</stp>
        <tr r="Y2" s="1"/>
      </tp>
      <tp t="s">
        <v>#N/A N/A</v>
        <stp/>
        <stp>BDP|8835718374582260149</stp>
        <tr r="AB11" s="1"/>
      </tp>
      <tp t="s">
        <v>#N/A N/A</v>
        <stp/>
        <stp>BDP|1567486579369460084</stp>
        <tr r="G13" s="1"/>
        <tr r="G14" s="1"/>
      </tp>
      <tp t="s">
        <v>#N/A N/A</v>
        <stp/>
        <stp>BDP|7775639736308826133</stp>
        <tr r="V16" s="1"/>
      </tp>
      <tp t="s">
        <v>#N/A N/A</v>
        <stp/>
        <stp>BDP|3598383194996715472</stp>
        <tr r="S9" s="1"/>
      </tp>
      <tp t="s">
        <v>#N/A N/A</v>
        <stp/>
        <stp>BDP|5117212118099460450</stp>
        <tr r="F14" s="1"/>
        <tr r="F13" s="1"/>
      </tp>
      <tp t="s">
        <v>#N/A N/A</v>
        <stp/>
        <stp>BDP|2157158909898697053</stp>
        <tr r="AG10" s="1"/>
      </tp>
      <tp t="s">
        <v>#N/A N/A</v>
        <stp/>
        <stp>BDP|1095641702315929907</stp>
        <tr r="AD21" s="1"/>
      </tp>
      <tp t="s">
        <v>#N/A N/A</v>
        <stp/>
        <stp>BDP|1570191792185612775</stp>
        <tr r="AA12" s="1"/>
      </tp>
      <tp t="s">
        <v>#N/A N/A</v>
        <stp/>
        <stp>BDP|6889878056846235664</stp>
        <tr r="AL28" s="1"/>
      </tp>
      <tp t="s">
        <v>#N/A N/A</v>
        <stp/>
        <stp>BDP|3102957114728333818</stp>
        <tr r="T8" s="1"/>
      </tp>
      <tp t="s">
        <v>#N/A N/A</v>
        <stp/>
        <stp>BDP|8191468228285845056</stp>
        <tr r="N7" s="1"/>
      </tp>
      <tp t="s">
        <v>#N/A N/A</v>
        <stp/>
        <stp>BDP|6130811611224502079</stp>
        <tr r="B20" s="1"/>
      </tp>
      <tp t="s">
        <v>#N/A N/A</v>
        <stp/>
        <stp>BDP|8400786278964316746</stp>
        <tr r="C23" s="1"/>
      </tp>
      <tp t="s">
        <v>#N/A N/A</v>
        <stp/>
        <stp>BDP|9379541724216421348</stp>
        <tr r="AD29" s="1"/>
      </tp>
      <tp t="s">
        <v>#N/A N/A</v>
        <stp/>
        <stp>BDP|1394835532126511748</stp>
        <tr r="AB9" s="1"/>
      </tp>
      <tp t="s">
        <v>#N/A N/A</v>
        <stp/>
        <stp>BDP|5714077185650037649</stp>
        <tr r="J9" s="1"/>
      </tp>
      <tp t="s">
        <v>#N/A N/A</v>
        <stp/>
        <stp>BDP|8143241665595446257</stp>
        <tr r="AD23" s="1"/>
      </tp>
      <tp t="s">
        <v>#N/A N/A</v>
        <stp/>
        <stp>BDP|1088245871079237615</stp>
        <tr r="K11" s="1"/>
      </tp>
      <tp t="s">
        <v>#N/A N/A</v>
        <stp/>
        <stp>BDP|7417297755783755898</stp>
        <tr r="H29" s="1"/>
      </tp>
      <tp t="s">
        <v>#N/A N/A</v>
        <stp/>
        <stp>BDP|1683173392890552205</stp>
        <tr r="AB5" s="1"/>
      </tp>
      <tp t="s">
        <v>#N/A N/A</v>
        <stp/>
        <stp>BDP|1333061493574235731</stp>
        <tr r="Z12" s="1"/>
      </tp>
      <tp t="s">
        <v>#N/A N/A</v>
        <stp/>
        <stp>BDP|9727699338650776750</stp>
        <tr r="V21" s="1"/>
      </tp>
      <tp t="s">
        <v>#N/A N/A</v>
        <stp/>
        <stp>BDP|5323293264212934828</stp>
        <tr r="X6" s="1"/>
      </tp>
      <tp t="s">
        <v>#N/A N/A</v>
        <stp/>
        <stp>BDP|9215636195754396925</stp>
        <tr r="V28" s="1"/>
      </tp>
      <tp t="s">
        <v>#N/A N/A</v>
        <stp/>
        <stp>BDP|7244271581461881798</stp>
        <tr r="B25" s="1"/>
      </tp>
      <tp t="s">
        <v>#N/A N/A</v>
        <stp/>
        <stp>BDP|2628201475079770514</stp>
        <tr r="AJ8" s="1"/>
      </tp>
      <tp t="s">
        <v>#N/A N/A</v>
        <stp/>
        <stp>BDP|8645762588368538483</stp>
        <tr r="V18" s="1"/>
      </tp>
      <tp t="s">
        <v>#N/A N/A</v>
        <stp/>
        <stp>BDP|4319459348458887732</stp>
        <tr r="V14" s="1"/>
        <tr r="V13" s="1"/>
      </tp>
      <tp t="s">
        <v>#N/A N/A</v>
        <stp/>
        <stp>BDP|9519946828284571261</stp>
        <tr r="J6" s="1"/>
      </tp>
      <tp t="s">
        <v>#N/A N/A</v>
        <stp/>
        <stp>BDP|9294988250098552944</stp>
        <tr r="O18" s="1"/>
      </tp>
      <tp t="s">
        <v>#N/A N/A</v>
        <stp/>
        <stp>BDP|7970052937355705574</stp>
        <tr r="AD22" s="1"/>
      </tp>
      <tp t="s">
        <v>#N/A N/A</v>
        <stp/>
        <stp>BDP|8677769327119489082</stp>
        <tr r="Z22" s="1"/>
      </tp>
      <tp t="s">
        <v>#N/A N/A</v>
        <stp/>
        <stp>BDP|1562757748980671666</stp>
        <tr r="Z25" s="1"/>
      </tp>
      <tp t="s">
        <v>#N/A N/A</v>
        <stp/>
        <stp>BDP|5813400132722445460</stp>
        <tr r="D16" s="1"/>
      </tp>
      <tp t="s">
        <v>#N/A N/A</v>
        <stp/>
        <stp>BDP|1544721858540555735</stp>
        <tr r="G26" s="1"/>
      </tp>
      <tp t="s">
        <v>#N/A N/A</v>
        <stp/>
        <stp>BDP|9224796351317668826</stp>
        <tr r="AC16" s="1"/>
      </tp>
      <tp t="s">
        <v>#N/A N/A</v>
        <stp/>
        <stp>BDP|4650461776960131383</stp>
        <tr r="R16" s="1"/>
      </tp>
      <tp t="s">
        <v>#N/A N/A</v>
        <stp/>
        <stp>BDP|2312224709101138568</stp>
        <tr r="I9" s="1"/>
      </tp>
      <tp t="s">
        <v>#N/A N/A</v>
        <stp/>
        <stp>BDP|4240417109002522600</stp>
        <tr r="AK7" s="1"/>
      </tp>
      <tp t="s">
        <v>#N/A N/A</v>
        <stp/>
        <stp>BDP|6988503987306488957</stp>
        <tr r="W12" s="1"/>
      </tp>
      <tp t="s">
        <v>#N/A N/A</v>
        <stp/>
        <stp>BDP|8046982444093072237</stp>
        <tr r="AM10" s="1"/>
      </tp>
      <tp t="s">
        <v>#N/A N/A</v>
        <stp/>
        <stp>BDP|6656293384370391845</stp>
        <tr r="Z11" s="1"/>
      </tp>
      <tp t="s">
        <v>#N/A N/A</v>
        <stp/>
        <stp>BDP|5939831587960809195</stp>
        <tr r="AB10" s="1"/>
      </tp>
      <tp t="s">
        <v>#N/A N/A</v>
        <stp/>
        <stp>BDP|2920427738734986570</stp>
        <tr r="Y9" s="1"/>
      </tp>
      <tp t="s">
        <v>#N/A N/A</v>
        <stp/>
        <stp>BDP|8370552293434090471</stp>
        <tr r="Z2" s="1"/>
      </tp>
      <tp t="s">
        <v>#N/A N/A</v>
        <stp/>
        <stp>BDP|2939686826255731728</stp>
        <tr r="AG23" s="1"/>
      </tp>
      <tp t="s">
        <v>#N/A N/A</v>
        <stp/>
        <stp>BDP|2278694858956322326</stp>
        <tr r="C8" s="1"/>
      </tp>
      <tp t="s">
        <v>#N/A N/A</v>
        <stp/>
        <stp>BDP|2991397951082669258</stp>
        <tr r="E26" s="1"/>
      </tp>
      <tp t="s">
        <v>#N/A N/A</v>
        <stp/>
        <stp>BDP|6491323865967809085</stp>
        <tr r="C6" s="1"/>
      </tp>
      <tp t="s">
        <v>#N/A N/A</v>
        <stp/>
        <stp>BDP|4353967195933556368</stp>
        <tr r="AB19" s="1"/>
      </tp>
      <tp t="s">
        <v>#N/A N/A</v>
        <stp/>
        <stp>BDP|5382890696596947641</stp>
        <tr r="AJ16" s="1"/>
      </tp>
      <tp t="s">
        <v>#N/A N/A</v>
        <stp/>
        <stp>BDP|8451072586271697529</stp>
        <tr r="S7" s="1"/>
      </tp>
      <tp t="s">
        <v>#N/A N/A</v>
        <stp/>
        <stp>BDP|4998224129817589714</stp>
        <tr r="B28" s="1"/>
      </tp>
      <tp t="s">
        <v>#N/A N/A</v>
        <stp/>
        <stp>BDP|6273857481347598573</stp>
        <tr r="L14" s="1"/>
        <tr r="L13" s="1"/>
      </tp>
      <tp t="s">
        <v>#N/A N/A</v>
        <stp/>
        <stp>BDP|4182595607906808334</stp>
        <tr r="C10" s="1"/>
      </tp>
      <tp t="s">
        <v>#N/A N/A</v>
        <stp/>
        <stp>BDP|7844661890268858420</stp>
        <tr r="J25" s="1"/>
      </tp>
      <tp t="s">
        <v>#N/A N/A</v>
        <stp/>
        <stp>BDP|4399355762971284428</stp>
        <tr r="N23" s="1"/>
      </tp>
      <tp t="s">
        <v>#N/A N/A</v>
        <stp/>
        <stp>BDP|2143403193243391844</stp>
        <tr r="AH8" s="1"/>
      </tp>
      <tp t="s">
        <v>#N/A N/A</v>
        <stp/>
        <stp>BDP|7377718779863912076</stp>
        <tr r="AA5" s="1"/>
      </tp>
      <tp t="s">
        <v>#N/A N/A</v>
        <stp/>
        <stp>BDP|1036091721034787253</stp>
        <tr r="J16" s="1"/>
      </tp>
      <tp t="s">
        <v>#N/A N/A</v>
        <stp/>
        <stp>BDP|2825475760517283271</stp>
        <tr r="G8" s="1"/>
      </tp>
      <tp t="s">
        <v>#N/A N/A</v>
        <stp/>
        <stp>BDP|8362323532584843918</stp>
        <tr r="AH18" s="1"/>
      </tp>
      <tp t="s">
        <v>#N/A N/A</v>
        <stp/>
        <stp>BDP|2132716801750918031</stp>
        <tr r="AM17" s="1"/>
      </tp>
      <tp t="s">
        <v>#N/A N/A</v>
        <stp/>
        <stp>BDP|6519864317233490985</stp>
        <tr r="E21" s="1"/>
      </tp>
      <tp t="s">
        <v>#N/A N/A</v>
        <stp/>
        <stp>BDP|3545108421741539483</stp>
        <tr r="AF18" s="1"/>
      </tp>
      <tp t="s">
        <v>#N/A N/A</v>
        <stp/>
        <stp>BDP|3167335725727605087</stp>
        <tr r="AM25" s="1"/>
      </tp>
      <tp t="s">
        <v>#N/A N/A</v>
        <stp/>
        <stp>BDP|4172730828203230711</stp>
        <tr r="I5" s="1"/>
      </tp>
      <tp t="s">
        <v>#N/A N/A</v>
        <stp/>
        <stp>BDP|6167188021481144109</stp>
        <tr r="AG8" s="1"/>
      </tp>
      <tp t="s">
        <v>#N/A N/A</v>
        <stp/>
        <stp>BDP|7468604508011607551</stp>
        <tr r="H21" s="1"/>
      </tp>
      <tp t="s">
        <v>#N/A N/A</v>
        <stp/>
        <stp>BDP|3157627791730504983</stp>
        <tr r="P6" s="1"/>
      </tp>
      <tp t="s">
        <v>#N/A N/A</v>
        <stp/>
        <stp>BDP|3478431925197985774</stp>
        <tr r="T12" s="1"/>
      </tp>
      <tp t="s">
        <v>#N/A N/A</v>
        <stp/>
        <stp>BDP|6778016933900985013</stp>
        <tr r="W20" s="1"/>
      </tp>
      <tp t="s">
        <v>#N/A N/A</v>
        <stp/>
        <stp>BDP|5481151312803633386</stp>
        <tr r="L7" s="1"/>
      </tp>
      <tp t="s">
        <v>#N/A N/A</v>
        <stp/>
        <stp>BDP|4848736191097959810</stp>
        <tr r="AD2" s="1"/>
      </tp>
      <tp t="s">
        <v>#N/A N/A</v>
        <stp/>
        <stp>BDP|1376188845356954741</stp>
        <tr r="V26" s="1"/>
      </tp>
      <tp t="s">
        <v>#N/A N/A</v>
        <stp/>
        <stp>BDP|7368740149759980844</stp>
        <tr r="B10" s="1"/>
      </tp>
      <tp t="s">
        <v>#N/A N/A</v>
        <stp/>
        <stp>BDP|8610413427628655351</stp>
        <tr r="AM13" s="1"/>
        <tr r="AM14" s="1"/>
      </tp>
      <tp t="s">
        <v>#N/A N/A</v>
        <stp/>
        <stp>BDP|4669727033584544112</stp>
        <tr r="Z27" s="1"/>
      </tp>
      <tp t="s">
        <v>#N/A N/A</v>
        <stp/>
        <stp>BDP|5935727403047936022</stp>
        <tr r="C7" s="1"/>
      </tp>
      <tp t="s">
        <v>#N/A N/A</v>
        <stp/>
        <stp>BDP|6440315753530079556</stp>
        <tr r="AK22" s="1"/>
      </tp>
      <tp t="s">
        <v>#N/A N/A</v>
        <stp/>
        <stp>BDP|5226698310692239592</stp>
        <tr r="J8" s="1"/>
      </tp>
      <tp t="s">
        <v>#N/A N/A</v>
        <stp/>
        <stp>BDP|1773966795621121554</stp>
        <tr r="AF25" s="1"/>
      </tp>
      <tp t="s">
        <v>#N/A N/A</v>
        <stp/>
        <stp>BDP|8965349949249664336</stp>
        <tr r="M29" s="1"/>
      </tp>
      <tp t="s">
        <v>#N/A N/A</v>
        <stp/>
        <stp>BDP|6017733009035379182</stp>
        <tr r="E25" s="1"/>
      </tp>
      <tp t="s">
        <v>#N/A N/A</v>
        <stp/>
        <stp>BDP|2748198967363664384</stp>
        <tr r="R5" s="1"/>
      </tp>
      <tp t="s">
        <v>#N/A N/A</v>
        <stp/>
        <stp>BDP|6927994986197470569</stp>
        <tr r="Z8" s="1"/>
      </tp>
      <tp t="s">
        <v>#N/A N/A</v>
        <stp/>
        <stp>BDP|3476283358142822388</stp>
        <tr r="AM15" s="1"/>
      </tp>
      <tp t="s">
        <v>#N/A N/A</v>
        <stp/>
        <stp>BDP|5187409745037146712</stp>
        <tr r="R25" s="1"/>
      </tp>
      <tp t="s">
        <v>#N/A N/A</v>
        <stp/>
        <stp>BDP|7008102347051265609</stp>
        <tr r="AJ27" s="1"/>
      </tp>
      <tp t="s">
        <v>#N/A N/A</v>
        <stp/>
        <stp>BDP|3509064140715241744</stp>
        <tr r="AH12" s="1"/>
      </tp>
      <tp t="s">
        <v>#N/A N/A</v>
        <stp/>
        <stp>BDP|5064274320932431192</stp>
        <tr r="G17" s="1"/>
      </tp>
      <tp t="s">
        <v>#N/A N/A</v>
        <stp/>
        <stp>BDP|5633494880139255672</stp>
        <tr r="M8" s="1"/>
      </tp>
      <tp t="s">
        <v>#N/A N/A</v>
        <stp/>
        <stp>BDP|1537894690761710708</stp>
        <tr r="D12" s="1"/>
      </tp>
      <tp t="s">
        <v>#N/A N/A</v>
        <stp/>
        <stp>BDP|5355801796586546480</stp>
        <tr r="AC9" s="1"/>
      </tp>
      <tp t="s">
        <v>#N/A N/A</v>
        <stp/>
        <stp>BDP|1545078667861811045</stp>
        <tr r="K14" s="1"/>
        <tr r="K13" s="1"/>
      </tp>
      <tp t="s">
        <v>#N/A N/A</v>
        <stp/>
        <stp>BDP|7745084510495764515</stp>
        <tr r="M16" s="1"/>
      </tp>
      <tp t="s">
        <v>#N/A N/A</v>
        <stp/>
        <stp>BDP|2258775018355408778</stp>
        <tr r="V10" s="1"/>
      </tp>
      <tp t="s">
        <v>#N/A N/A</v>
        <stp/>
        <stp>BDP|1920659640465386004</stp>
        <tr r="V8" s="1"/>
      </tp>
      <tp t="s">
        <v>#N/A N/A</v>
        <stp/>
        <stp>BDP|5240933038481687837</stp>
        <tr r="G21" s="1"/>
      </tp>
      <tp t="s">
        <v>#N/A N/A</v>
        <stp/>
        <stp>BDP|8761877018121174657</stp>
        <tr r="AI12" s="1"/>
      </tp>
      <tp t="s">
        <v>#N/A N/A</v>
        <stp/>
        <stp>BDP|3873224550245754713</stp>
        <tr r="D26" s="1"/>
      </tp>
      <tp t="s">
        <v>#N/A N/A</v>
        <stp/>
        <stp>BDP|2636337456282691099</stp>
        <tr r="T19" s="1"/>
      </tp>
      <tp t="s">
        <v>#N/A N/A</v>
        <stp/>
        <stp>BDP|5998118865491211523</stp>
        <tr r="O28" s="1"/>
      </tp>
      <tp t="s">
        <v>#N/A N/A</v>
        <stp/>
        <stp>BDP|1113738792718242129</stp>
        <tr r="P16" s="1"/>
      </tp>
      <tp t="s">
        <v>#N/A N/A</v>
        <stp/>
        <stp>BDP|8747212127418786603</stp>
        <tr r="AH24" s="1"/>
      </tp>
      <tp t="s">
        <v>#N/A N/A</v>
        <stp/>
        <stp>BDP|2691640483252633812</stp>
        <tr r="Z13" s="1"/>
        <tr r="Z14" s="1"/>
      </tp>
      <tp t="s">
        <v>#N/A N/A</v>
        <stp/>
        <stp>BDP|3844859548311653856</stp>
        <tr r="AI21" s="1"/>
      </tp>
      <tp t="s">
        <v>#N/A N/A</v>
        <stp/>
        <stp>BDP|3748005489464195998</stp>
        <tr r="AI5" s="1"/>
      </tp>
      <tp t="s">
        <v>#N/A N/A</v>
        <stp/>
        <stp>BDP|2868778924517887640</stp>
        <tr r="AI18" s="1"/>
      </tp>
      <tp t="s">
        <v>#N/A N/A</v>
        <stp/>
        <stp>BDP|8054916120201743413</stp>
        <tr r="AI16" s="1"/>
      </tp>
      <tp t="s">
        <v>#N/A N/A</v>
        <stp/>
        <stp>BDP|5404769468817802557</stp>
        <tr r="L21" s="1"/>
      </tp>
      <tp t="s">
        <v>#N/A N/A</v>
        <stp/>
        <stp>BDP|1834592589462582895</stp>
        <tr r="AH20" s="1"/>
      </tp>
      <tp t="s">
        <v>#N/A N/A</v>
        <stp/>
        <stp>BDP|8070146870959917196</stp>
        <tr r="AC18" s="1"/>
      </tp>
      <tp t="s">
        <v>#N/A N/A</v>
        <stp/>
        <stp>BDP|2579328262850854197</stp>
        <tr r="AB29" s="1"/>
      </tp>
      <tp t="s">
        <v>#N/A N/A</v>
        <stp/>
        <stp>BDP|8529854732494206158</stp>
        <tr r="J21" s="1"/>
      </tp>
      <tp t="s">
        <v>#N/A N/A</v>
        <stp/>
        <stp>BDP|6114429997445590847</stp>
        <tr r="R2" s="1"/>
      </tp>
      <tp t="s">
        <v>#N/A N/A</v>
        <stp/>
        <stp>BDP|3324908386794876172</stp>
        <tr r="AE11" s="1"/>
      </tp>
      <tp t="s">
        <v>#N/A N/A</v>
        <stp/>
        <stp>BDP|6167215169926674353</stp>
        <tr r="Y16" s="1"/>
      </tp>
      <tp t="s">
        <v>#N/A N/A</v>
        <stp/>
        <stp>BDP|2407670811456854401</stp>
        <tr r="O2" s="1"/>
      </tp>
      <tp t="s">
        <v>#N/A N/A</v>
        <stp/>
        <stp>BDP|3082968300289572496</stp>
        <tr r="C28" s="1"/>
      </tp>
      <tp t="s">
        <v>#N/A N/A</v>
        <stp/>
        <stp>BDP|4020577164554869408</stp>
        <tr r="B15" s="1"/>
      </tp>
      <tp t="s">
        <v>#N/A N/A</v>
        <stp/>
        <stp>BDP|7489507676801397393</stp>
        <tr r="C22" s="1"/>
      </tp>
      <tp t="s">
        <v>#N/A N/A</v>
        <stp/>
        <stp>BDP|1886793805153563299</stp>
        <tr r="G15" s="1"/>
      </tp>
      <tp t="s">
        <v>#N/A N/A</v>
        <stp/>
        <stp>BDP|1974743751164641025</stp>
        <tr r="AI24" s="1"/>
      </tp>
      <tp t="s">
        <v>#N/A N/A</v>
        <stp/>
        <stp>BDP|6154855699750297063</stp>
        <tr r="AM16" s="1"/>
      </tp>
      <tp t="s">
        <v>#N/A N/A</v>
        <stp/>
        <stp>BDP|3204991688582908731</stp>
        <tr r="C26" s="1"/>
      </tp>
      <tp t="s">
        <v>#N/A N/A</v>
        <stp/>
        <stp>BDP|5419341850057780399</stp>
        <tr r="P14" s="1"/>
        <tr r="P13" s="1"/>
      </tp>
      <tp t="s">
        <v>#N/A N/A</v>
        <stp/>
        <stp>BDP|5209580074568856882</stp>
        <tr r="D8" s="1"/>
      </tp>
      <tp t="s">
        <v>#N/A N/A</v>
        <stp/>
        <stp>BDP|7556739251447948508</stp>
        <tr r="AL18" s="1"/>
      </tp>
      <tp t="s">
        <v>#N/A N/A</v>
        <stp/>
        <stp>BDP|3491178712425840167</stp>
        <tr r="J10" s="1"/>
      </tp>
      <tp t="s">
        <v>#N/A N/A</v>
        <stp/>
        <stp>BDP|1614447736631818005</stp>
        <tr r="I20" s="1"/>
      </tp>
      <tp t="s">
        <v>#N/A N/A</v>
        <stp/>
        <stp>BDP|1853426127889829989</stp>
        <tr r="V2" s="1"/>
      </tp>
      <tp t="s">
        <v>#N/A N/A</v>
        <stp/>
        <stp>BDP|7432613953621849237</stp>
        <tr r="T26" s="1"/>
      </tp>
      <tp t="s">
        <v>#N/A N/A</v>
        <stp/>
        <stp>BDP|2704078202061374436</stp>
        <tr r="M25" s="1"/>
      </tp>
      <tp t="s">
        <v>#N/A N/A</v>
        <stp/>
        <stp>BDP|5149748040312356347</stp>
        <tr r="P2" s="1"/>
      </tp>
      <tp t="s">
        <v>#N/A N/A</v>
        <stp/>
        <stp>BDP|9436571035820677821</stp>
        <tr r="F26" s="1"/>
      </tp>
      <tp t="s">
        <v>#N/A N/A</v>
        <stp/>
        <stp>BDP|3619075607387103354</stp>
        <tr r="M24" s="1"/>
      </tp>
      <tp t="s">
        <v>#N/A N/A</v>
        <stp/>
        <stp>BDP|1346921592676794077</stp>
        <tr r="AA17" s="1"/>
      </tp>
      <tp t="s">
        <v>#N/A N/A</v>
        <stp/>
        <stp>BDP|5886718415584984063</stp>
        <tr r="N6" s="1"/>
      </tp>
      <tp t="s">
        <v>#N/A N/A</v>
        <stp/>
        <stp>BDP|1877750668002063562</stp>
        <tr r="B13" s="1"/>
        <tr r="B14" s="1"/>
      </tp>
      <tp t="s">
        <v>#N/A N/A</v>
        <stp/>
        <stp>BDP|4412670057634653423</stp>
        <tr r="K28" s="1"/>
      </tp>
      <tp t="s">
        <v>#N/A N/A</v>
        <stp/>
        <stp>BDP|6528150643657062333</stp>
        <tr r="AH17" s="1"/>
      </tp>
      <tp t="s">
        <v>#N/A N/A</v>
        <stp/>
        <stp>BDP|9569225382301619528</stp>
        <tr r="Y18" s="1"/>
      </tp>
      <tp t="s">
        <v>#N/A N/A</v>
        <stp/>
        <stp>BDP|9085998720335726088</stp>
        <tr r="AH9" s="1"/>
      </tp>
      <tp t="s">
        <v>#N/A N/A</v>
        <stp/>
        <stp>BDP|9338433394285489669</stp>
        <tr r="S16" s="1"/>
      </tp>
      <tp t="s">
        <v>#N/A N/A</v>
        <stp/>
        <stp>BDP|7430105314026764612</stp>
        <tr r="H14" s="1"/>
        <tr r="H13" s="1"/>
      </tp>
      <tp t="s">
        <v>#N/A N/A</v>
        <stp/>
        <stp>BDP|8755955871199001857</stp>
        <tr r="R27" s="1"/>
      </tp>
      <tp t="s">
        <v>#N/A N/A</v>
        <stp/>
        <stp>BDP|3909282294648727768</stp>
        <tr r="Y20" s="1"/>
      </tp>
      <tp t="s">
        <v>#N/A N/A</v>
        <stp/>
        <stp>BDP|2402377256447212431</stp>
        <tr r="B27" s="1"/>
      </tp>
      <tp t="s">
        <v>#N/A N/A</v>
        <stp/>
        <stp>BDP|4572008161732054717</stp>
        <tr r="AE9" s="1"/>
      </tp>
      <tp t="s">
        <v>#N/A N/A</v>
        <stp/>
        <stp>BDP|7974994784915535448</stp>
        <tr r="G11" s="1"/>
      </tp>
      <tp t="s">
        <v>#N/A N/A</v>
        <stp/>
        <stp>BDP|7474063828687423259</stp>
        <tr r="X5" s="1"/>
      </tp>
      <tp t="s">
        <v>#N/A N/A</v>
        <stp/>
        <stp>BDP|7201129365344947475</stp>
        <tr r="D5" s="1"/>
      </tp>
      <tp t="s">
        <v>#N/A N/A</v>
        <stp/>
        <stp>BDP|1705780927950567452</stp>
        <tr r="AM26" s="1"/>
      </tp>
      <tp t="s">
        <v>#N/A N/A</v>
        <stp/>
        <stp>BDP|4289905136546811849</stp>
        <tr r="AC17" s="1"/>
      </tp>
      <tp t="s">
        <v>#N/A N/A</v>
        <stp/>
        <stp>BDP|3727425209925797232</stp>
        <tr r="P25" s="1"/>
      </tp>
      <tp t="s">
        <v>#N/A N/A</v>
        <stp/>
        <stp>BDP|4164699825899297913</stp>
        <tr r="E6" s="1"/>
      </tp>
      <tp t="s">
        <v>#N/A N/A</v>
        <stp/>
        <stp>BDP|4331370077989846946</stp>
        <tr r="AK10" s="1"/>
      </tp>
      <tp t="s">
        <v>#N/A N/A</v>
        <stp/>
        <stp>BDP|3500734935785950259</stp>
        <tr r="D19" s="1"/>
      </tp>
      <tp t="s">
        <v>#N/A N/A</v>
        <stp/>
        <stp>BDP|4679752958657311173</stp>
        <tr r="V5" s="1"/>
      </tp>
      <tp t="s">
        <v>#N/A N/A</v>
        <stp/>
        <stp>BDP|8197980512703480336</stp>
        <tr r="AA9" s="1"/>
      </tp>
      <tp t="s">
        <v>#N/A N/A</v>
        <stp/>
        <stp>BDP|4506433963826094071</stp>
        <tr r="AB6" s="1"/>
      </tp>
      <tp t="s">
        <v>#N/A N/A</v>
        <stp/>
        <stp>BDP|1722225877585958186</stp>
        <tr r="AA10" s="1"/>
      </tp>
      <tp t="s">
        <v>#N/A N/A</v>
        <stp/>
        <stp>BDP|8434545187860521524</stp>
        <tr r="AM8" s="1"/>
      </tp>
      <tp t="s">
        <v>#N/A N/A</v>
        <stp/>
        <stp>BDP|9493121698145723491</stp>
        <tr r="U10" s="1"/>
      </tp>
      <tp t="s">
        <v>#N/A N/A</v>
        <stp/>
        <stp>BDP|2459558577351337152</stp>
        <tr r="F18" s="1"/>
      </tp>
      <tp t="s">
        <v>#N/A N/A</v>
        <stp/>
        <stp>BDP|4060285252856850534</stp>
        <tr r="M23" s="1"/>
      </tp>
      <tp t="s">
        <v>#N/A N/A</v>
        <stp/>
        <stp>BDP|4701431152596296357</stp>
        <tr r="C12" s="1"/>
      </tp>
      <tp t="s">
        <v>#N/A N/A</v>
        <stp/>
        <stp>BDP|4983652846071248791</stp>
        <tr r="AC24" s="1"/>
      </tp>
      <tp t="s">
        <v>#N/A N/A</v>
        <stp/>
        <stp>BDP|9228071621603008850</stp>
        <tr r="E11" s="1"/>
      </tp>
      <tp t="s">
        <v>#N/A N/A</v>
        <stp/>
        <stp>BDP|7561049557276915494</stp>
        <tr r="AM2" s="1"/>
      </tp>
      <tp t="s">
        <v>#N/A N/A</v>
        <stp/>
        <stp>BDP|3074721904816350239</stp>
        <tr r="M11" s="1"/>
      </tp>
      <tp t="s">
        <v>#N/A N/A</v>
        <stp/>
        <stp>BDP|6276500878247943357</stp>
        <tr r="W6" s="1"/>
      </tp>
      <tp t="s">
        <v>#N/A N/A</v>
        <stp/>
        <stp>BDP|3520329965652071451</stp>
        <tr r="AE12" s="1"/>
      </tp>
      <tp t="s">
        <v>#N/A N/A</v>
        <stp/>
        <stp>BDP|7589050937631094506</stp>
        <tr r="AF5" s="1"/>
      </tp>
      <tp t="s">
        <v>#N/A N/A</v>
        <stp/>
        <stp>BDP|8722734314456161862</stp>
        <tr r="AI15" s="1"/>
      </tp>
      <tp t="s">
        <v>#N/A N/A</v>
        <stp/>
        <stp>BDP|5418722223379522958</stp>
        <tr r="B21" s="1"/>
      </tp>
      <tp t="s">
        <v>#N/A N/A</v>
        <stp/>
        <stp>BDP|7729050474150181027</stp>
        <tr r="AB21" s="1"/>
      </tp>
      <tp t="s">
        <v>#N/A N/A</v>
        <stp/>
        <stp>BDP|5828711536371459118</stp>
        <tr r="O6" s="1"/>
      </tp>
      <tp t="s">
        <v>#N/A N/A</v>
        <stp/>
        <stp>BDP|8877183278878019736</stp>
        <tr r="X9" s="1"/>
      </tp>
      <tp t="s">
        <v>#N/A N/A</v>
        <stp/>
        <stp>BDP|1041460889378456431</stp>
        <tr r="AL29" s="1"/>
      </tp>
      <tp t="s">
        <v>#N/A N/A</v>
        <stp/>
        <stp>BDP|3192526712585854306</stp>
        <tr r="AL9" s="1"/>
      </tp>
      <tp t="s">
        <v>#N/A N/A</v>
        <stp/>
        <stp>BDP|3338780898315954939</stp>
        <tr r="AF22" s="1"/>
      </tp>
      <tp t="s">
        <v>#N/A N/A</v>
        <stp/>
        <stp>BDP|6682701957246850300</stp>
        <tr r="U29" s="1"/>
      </tp>
      <tp t="s">
        <v>#N/A N/A</v>
        <stp/>
        <stp>BDP|6830459078874874045</stp>
        <tr r="G23" s="1"/>
      </tp>
      <tp t="s">
        <v>#N/A N/A</v>
        <stp/>
        <stp>BDP|6429862472799710196</stp>
        <tr r="W7" s="1"/>
      </tp>
      <tp t="s">
        <v>#N/A N/A</v>
        <stp/>
        <stp>BDP|7820930587124615346</stp>
        <tr r="Y24" s="1"/>
      </tp>
      <tp t="s">
        <v>#N/A N/A</v>
        <stp/>
        <stp>BDP|9376258808603261937</stp>
        <tr r="X26" s="1"/>
      </tp>
      <tp t="s">
        <v>#N/A N/A</v>
        <stp/>
        <stp>BDP|5481729426191693093</stp>
        <tr r="D21" s="1"/>
      </tp>
      <tp t="s">
        <v>#N/A N/A</v>
        <stp/>
        <stp>BDP|7623380937397144140</stp>
        <tr r="AI23" s="1"/>
      </tp>
      <tp t="s">
        <v>#N/A N/A</v>
        <stp/>
        <stp>BDP|8297774381803995502</stp>
        <tr r="G28" s="1"/>
      </tp>
      <tp t="s">
        <v>#N/A N/A</v>
        <stp/>
        <stp>BDP|5065936766599175293</stp>
        <tr r="AC20" s="1"/>
      </tp>
      <tp t="s">
        <v>#N/A N/A</v>
        <stp/>
        <stp>BDP|9702155429788031365</stp>
        <tr r="U28" s="1"/>
      </tp>
      <tp t="s">
        <v>#N/A N/A</v>
        <stp/>
        <stp>BDP|4562472463300459771</stp>
        <tr r="K22" s="1"/>
      </tp>
      <tp t="s">
        <v>#N/A N/A</v>
        <stp/>
        <stp>BDP|8113370967724574875</stp>
        <tr r="I14" s="1"/>
        <tr r="I13" s="1"/>
      </tp>
      <tp t="s">
        <v>#N/A N/A</v>
        <stp/>
        <stp>BDP|8411827265027231022</stp>
        <tr r="L9" s="1"/>
      </tp>
      <tp t="s">
        <v>#N/A N/A</v>
        <stp/>
        <stp>BDP|3080157194522118809</stp>
        <tr r="B7" s="1"/>
      </tp>
      <tp t="s">
        <v>#N/A N/A</v>
        <stp/>
        <stp>BDP|1094020972373564458</stp>
        <tr r="AB28" s="1"/>
      </tp>
      <tp t="s">
        <v>#N/A N/A</v>
        <stp/>
        <stp>BDP|9022403402398532411</stp>
        <tr r="O27" s="1"/>
      </tp>
      <tp t="s">
        <v>#N/A N/A</v>
        <stp/>
        <stp>BDP|2966487663468205963</stp>
        <tr r="AD15" s="1"/>
      </tp>
      <tp t="s">
        <v>#N/A N/A</v>
        <stp/>
        <stp>BDP|6453120896218113769</stp>
        <tr r="M27" s="1"/>
      </tp>
      <tp t="s">
        <v>#N/A N/A</v>
        <stp/>
        <stp>BDP|6124118729963669785</stp>
        <tr r="AK20" s="1"/>
      </tp>
      <tp t="s">
        <v>#N/A N/A</v>
        <stp/>
        <stp>BDP|2743126045386170066</stp>
        <tr r="AB23" s="1"/>
      </tp>
      <tp t="s">
        <v>#N/A N/A</v>
        <stp/>
        <stp>BDP|3107211633984022766</stp>
        <tr r="P5" s="1"/>
      </tp>
      <tp t="s">
        <v>#N/A N/A</v>
        <stp/>
        <stp>BDP|8922931879321734616</stp>
        <tr r="AC10" s="1"/>
      </tp>
      <tp t="s">
        <v>#N/A N/A</v>
        <stp/>
        <stp>BDP|1239349072371594545</stp>
        <tr r="AG21" s="1"/>
      </tp>
      <tp t="s">
        <v>#N/A N/A</v>
        <stp/>
        <stp>BDP|5385366093958347604</stp>
        <tr r="AI27" s="1"/>
      </tp>
      <tp t="s">
        <v>#N/A N/A</v>
        <stp/>
        <stp>BDP|6931240175273674251</stp>
        <tr r="N8" s="1"/>
      </tp>
      <tp t="s">
        <v>#N/A N/A</v>
        <stp/>
        <stp>BDP|1134661549901541038</stp>
        <tr r="P19" s="1"/>
      </tp>
      <tp t="s">
        <v>#N/A N/A</v>
        <stp/>
        <stp>BDP|1257594155360606318</stp>
        <tr r="T6" s="1"/>
      </tp>
      <tp t="s">
        <v>#N/A N/A</v>
        <stp/>
        <stp>BDP|7137121158630257178</stp>
        <tr r="R8" s="1"/>
      </tp>
      <tp t="s">
        <v>#N/A N/A</v>
        <stp/>
        <stp>BDP|9226912178393396662</stp>
        <tr r="M28" s="1"/>
      </tp>
      <tp t="s">
        <v>#N/A N/A</v>
        <stp/>
        <stp>BDP|5222072268773265212</stp>
        <tr r="I2" s="1"/>
      </tp>
      <tp t="s">
        <v>#N/A N/A</v>
        <stp/>
        <stp>BDP|8169254182994021497</stp>
        <tr r="X17" s="1"/>
      </tp>
      <tp t="s">
        <v>#N/A N/A</v>
        <stp/>
        <stp>BDP|9979952200531369338</stp>
        <tr r="U15" s="1"/>
      </tp>
      <tp t="s">
        <v>#N/A N/A</v>
        <stp/>
        <stp>BDP|7183348262222333281</stp>
        <tr r="R18" s="1"/>
      </tp>
      <tp t="s">
        <v>#N/A N/A</v>
        <stp/>
        <stp>BDP|2556939014479817178</stp>
        <tr r="G6" s="1"/>
      </tp>
      <tp t="s">
        <v>#N/A N/A</v>
        <stp/>
        <stp>BDP|6185087611053520609</stp>
        <tr r="AI2" s="1"/>
      </tp>
      <tp t="s">
        <v>#N/A N/A</v>
        <stp/>
        <stp>BDP|8993525779149846181</stp>
        <tr r="J17" s="1"/>
      </tp>
      <tp t="s">
        <v>#N/A N/A</v>
        <stp/>
        <stp>BDP|7845784321438498870</stp>
        <tr r="X2" s="1"/>
      </tp>
      <tp t="s">
        <v>#N/A N/A</v>
        <stp/>
        <stp>BDP|3178722074976722720</stp>
        <tr r="W18" s="1"/>
      </tp>
      <tp t="s">
        <v>#N/A N/A</v>
        <stp/>
        <stp>BDP|4187096465361816160</stp>
        <tr r="Y21" s="1"/>
      </tp>
      <tp t="s">
        <v>#N/A N/A</v>
        <stp/>
        <stp>BDP|2327613840955205734</stp>
        <tr r="AL27" s="1"/>
      </tp>
      <tp t="s">
        <v>#N/A N/A</v>
        <stp/>
        <stp>BDP|4793067060878605848</stp>
        <tr r="R26" s="1"/>
      </tp>
      <tp t="s">
        <v>#N/A N/A</v>
        <stp/>
        <stp>BDP|6814675201103507183</stp>
        <tr r="AC25" s="1"/>
      </tp>
      <tp t="s">
        <v>#N/A N/A</v>
        <stp/>
        <stp>BDP|8359801259110321796</stp>
        <tr r="AL7" s="1"/>
      </tp>
      <tp t="s">
        <v>#N/A N/A</v>
        <stp/>
        <stp>BDP|9748656287227466214</stp>
        <tr r="Z17" s="1"/>
      </tp>
      <tp t="s">
        <v>#N/A N/A</v>
        <stp/>
        <stp>BDP|1916105136625905409</stp>
        <tr r="V11" s="1"/>
      </tp>
      <tp t="s">
        <v>#N/A N/A</v>
        <stp/>
        <stp>BDP|7456292534845639190</stp>
        <tr r="AF21" s="1"/>
      </tp>
      <tp t="s">
        <v>#N/A N/A</v>
        <stp/>
        <stp>BDP|4294209561332432016</stp>
        <tr r="F16" s="1"/>
      </tp>
      <tp t="s">
        <v>#N/A N/A</v>
        <stp/>
        <stp>BDP|5523241322713594417</stp>
        <tr r="H16" s="1"/>
      </tp>
      <tp t="s">
        <v>#N/A N/A</v>
        <stp/>
        <stp>BDP|7666212246616309553</stp>
        <tr r="S17" s="1"/>
      </tp>
      <tp t="s">
        <v>#N/A N/A</v>
        <stp/>
        <stp>BDP|9143362320102740870</stp>
        <tr r="AH21" s="1"/>
      </tp>
      <tp t="s">
        <v>#N/A N/A</v>
        <stp/>
        <stp>BDP|7730625717535332756</stp>
        <tr r="E28" s="1"/>
      </tp>
      <tp t="s">
        <v>#N/A N/A</v>
        <stp/>
        <stp>BDP|8233766220388107704</stp>
        <tr r="B11" s="1"/>
      </tp>
      <tp t="s">
        <v>#N/A N/A</v>
        <stp/>
        <stp>BDP|1499852897377547484</stp>
        <tr r="J27" s="1"/>
      </tp>
      <tp t="s">
        <v>#N/A N/A</v>
        <stp/>
        <stp>BDP|1086386588560904926</stp>
        <tr r="AM18" s="1"/>
      </tp>
      <tp t="s">
        <v>#N/A N/A</v>
        <stp/>
        <stp>BDP|7377130269907557475</stp>
        <tr r="D28" s="1"/>
      </tp>
      <tp t="s">
        <v>#N/A N/A</v>
        <stp/>
        <stp>BDP|1463850042129961711</stp>
        <tr r="AJ21" s="1"/>
      </tp>
      <tp t="s">
        <v>#N/A N/A</v>
        <stp/>
        <stp>BDP|5976467849971656787</stp>
        <tr r="F24" s="1"/>
      </tp>
      <tp t="s">
        <v>#N/A N/A</v>
        <stp/>
        <stp>BDP|5228454168681776502</stp>
        <tr r="AB15" s="1"/>
      </tp>
      <tp t="s">
        <v>#N/A N/A</v>
        <stp/>
        <stp>BDP|7848889900584811810</stp>
        <tr r="K16" s="1"/>
      </tp>
      <tp t="s">
        <v>#N/A N/A</v>
        <stp/>
        <stp>BDP|8030175519902698918</stp>
        <tr r="AB12" s="1"/>
      </tp>
      <tp t="s">
        <v>#N/A N/A</v>
        <stp/>
        <stp>BDP|7098694715223397018</stp>
        <tr r="U12" s="1"/>
      </tp>
      <tp t="s">
        <v>#N/A N/A</v>
        <stp/>
        <stp>BDP|9411776370673548981</stp>
        <tr r="U26" s="1"/>
      </tp>
      <tp t="s">
        <v>#N/A N/A</v>
        <stp/>
        <stp>BDP|9638938221885902434</stp>
        <tr r="S22" s="1"/>
      </tp>
      <tp t="s">
        <v>#N/A N/A</v>
        <stp/>
        <stp>BDP|2057653439851181530</stp>
        <tr r="AA16" s="1"/>
      </tp>
      <tp t="s">
        <v>#N/A N/A</v>
        <stp/>
        <stp>BDP|4196701238844461715</stp>
        <tr r="AL26" s="1"/>
      </tp>
      <tp t="s">
        <v>#N/A N/A</v>
        <stp/>
        <stp>BDP|6046176527293801551</stp>
        <tr r="AF20" s="1"/>
      </tp>
      <tp t="s">
        <v>#N/A N/A</v>
        <stp/>
        <stp>BDP|3048510344528851901</stp>
        <tr r="AE7" s="1"/>
      </tp>
      <tp t="s">
        <v>#N/A N/A</v>
        <stp/>
        <stp>BDP|2336158412626712715</stp>
        <tr r="N10" s="1"/>
      </tp>
      <tp t="s">
        <v>#N/A N/A</v>
        <stp/>
        <stp>BDP|2848208842764130397</stp>
        <tr r="B23" s="1"/>
      </tp>
      <tp t="s">
        <v>#N/A N/A</v>
        <stp/>
        <stp>BDP|5621371655329534932</stp>
        <tr r="U9" s="1"/>
      </tp>
      <tp t="s">
        <v>#N/A N/A</v>
        <stp/>
        <stp>BDP|5961790258727885334</stp>
        <tr r="O25" s="1"/>
      </tp>
      <tp t="s">
        <v>#N/A N/A</v>
        <stp/>
        <stp>BDP|4830757418041544037</stp>
        <tr r="C16" s="1"/>
      </tp>
      <tp t="s">
        <v>#N/A N/A</v>
        <stp/>
        <stp>BDP|5016276562606370466</stp>
        <tr r="Y11" s="1"/>
      </tp>
      <tp t="s">
        <v>#N/A N/A</v>
        <stp/>
        <stp>BDP|5323708416958126846</stp>
        <tr r="Z24" s="1"/>
      </tp>
      <tp t="s">
        <v>#N/A N/A</v>
        <stp/>
        <stp>BDP|3336379804180265334</stp>
        <tr r="S8" s="1"/>
      </tp>
      <tp t="s">
        <v>#N/A N/A</v>
        <stp/>
        <stp>BDP|7675401706504199407</stp>
        <tr r="Z20" s="1"/>
      </tp>
      <tp t="s">
        <v>#N/A N/A</v>
        <stp/>
        <stp>BDP|2412909087691211176</stp>
        <tr r="AH13" s="1"/>
        <tr r="AH14" s="1"/>
      </tp>
      <tp t="s">
        <v>#N/A N/A</v>
        <stp/>
        <stp>BDP|6041316755583581074</stp>
        <tr r="AL12" s="1"/>
      </tp>
      <tp t="s">
        <v>#N/A N/A</v>
        <stp/>
        <stp>BDP|2299043900523674265</stp>
        <tr r="K18" s="1"/>
      </tp>
      <tp t="s">
        <v>#N/A N/A</v>
        <stp/>
        <stp>BDP|2449967327419567364</stp>
        <tr r="J11" s="1"/>
      </tp>
      <tp t="s">
        <v>#N/A N/A</v>
        <stp/>
        <stp>BDP|6498185690979349495</stp>
        <tr r="E14" s="1"/>
        <tr r="E13" s="1"/>
      </tp>
      <tp t="s">
        <v>#N/A N/A</v>
        <stp/>
        <stp>BDP|9785986037525645590</stp>
        <tr r="AD9" s="1"/>
      </tp>
      <tp t="s">
        <v>#N/A N/A</v>
        <stp/>
        <stp>BDP|8282601986831107420</stp>
        <tr r="AJ24" s="1"/>
      </tp>
      <tp t="s">
        <v>#N/A N/A</v>
        <stp/>
        <stp>BDP|2536718650826645551</stp>
        <tr r="O16" s="1"/>
      </tp>
      <tp t="s">
        <v>#N/A N/A</v>
        <stp/>
        <stp>BDP|1727578443004106764</stp>
        <tr r="V19" s="1"/>
      </tp>
      <tp t="s">
        <v>#N/A N/A</v>
        <stp/>
        <stp>BDP|6407977185254385019</stp>
        <tr r="AE23" s="1"/>
      </tp>
      <tp t="s">
        <v>#N/A N/A</v>
        <stp/>
        <stp>BDP|6965312141982922052</stp>
        <tr r="E9" s="1"/>
      </tp>
      <tp t="s">
        <v>#N/A N/A</v>
        <stp/>
        <stp>BDP|4869596917053101027</stp>
        <tr r="R21" s="1"/>
      </tp>
    </main>
    <main first="bofaddin.rtdserver">
      <tp t="s">
        <v>#N/A N/A</v>
        <stp/>
        <stp>BDP|32724997167493322</stp>
        <tr r="W8" s="1"/>
      </tp>
      <tp t="s">
        <v>#N/A N/A</v>
        <stp/>
        <stp>BADDPERIODS|2754647661475320015</stp>
        <tr r="C6" s="1"/>
        <tr r="C20" s="1"/>
        <tr r="C21" s="1"/>
        <tr r="C7" s="1"/>
        <tr r="C18" s="1"/>
        <tr r="C19" s="1"/>
        <tr r="C17" s="1"/>
        <tr r="C22" s="1"/>
        <tr r="C23" s="1"/>
        <tr r="C11" s="1"/>
        <tr r="C29" s="1"/>
        <tr r="C26" s="1"/>
        <tr r="C25" s="1"/>
        <tr r="C27" s="1"/>
        <tr r="C8" s="1"/>
        <tr r="C28" s="1"/>
        <tr r="C10" s="1"/>
        <tr r="C15" s="1"/>
        <tr r="C12" s="1"/>
        <tr r="C16" s="1"/>
        <tr r="C14" s="1"/>
        <tr r="C13" s="1"/>
        <tr r="C24" s="1"/>
        <tr r="C9" s="1"/>
        <tr r="C5" s="1"/>
      </tp>
      <tp t="s">
        <v>#N/A N/A</v>
        <stp/>
        <stp>BDP|42735392439909988</stp>
        <tr r="AB27" s="1"/>
      </tp>
      <tp t="s">
        <v>#N/A N/A</v>
        <stp/>
        <stp>BADDPERIODS|8033260253283047759</stp>
        <tr r="F27" s="1"/>
        <tr r="F9" s="1"/>
        <tr r="F24" s="1"/>
        <tr r="Z7" s="1"/>
        <tr r="Z16" s="1"/>
        <tr r="AG6" s="1"/>
        <tr r="F19" s="1"/>
        <tr r="F22" s="1"/>
        <tr r="V16" s="1"/>
        <tr r="V21" s="1"/>
        <tr r="AG19" s="1"/>
        <tr r="AG10" s="1"/>
        <tr r="AG22" s="1"/>
        <tr r="AG16" s="1"/>
        <tr r="F16" s="1"/>
        <tr r="F18" s="1"/>
        <tr r="Z28" s="1"/>
        <tr r="Z9" s="1"/>
        <tr r="F26" s="1"/>
        <tr r="F10" s="1"/>
        <tr r="F20" s="1"/>
        <tr r="V27" s="1"/>
        <tr r="V23" s="1"/>
        <tr r="AG28" s="1"/>
        <tr r="F25" s="1"/>
        <tr r="F14" s="1"/>
        <tr r="Z29" s="1"/>
        <tr r="Z6" s="1"/>
        <tr r="Z10" s="1"/>
        <tr r="AG14" s="1"/>
        <tr r="F21" s="1"/>
        <tr r="F29" s="1"/>
        <tr r="V24" s="1"/>
        <tr r="V17" s="1"/>
        <tr r="AG18" s="1"/>
        <tr r="AG17" s="1"/>
        <tr r="AG25" s="1"/>
        <tr r="AG11" s="1"/>
        <tr r="F28" s="1"/>
        <tr r="F12" s="1"/>
        <tr r="Z17" s="1"/>
        <tr r="Z15" s="1"/>
        <tr r="AG13" s="1"/>
        <tr r="F7" s="1"/>
        <tr r="F8" s="1"/>
        <tr r="V18" s="1"/>
        <tr r="V15" s="1"/>
        <tr r="V7" s="1"/>
        <tr r="AG15" s="1"/>
        <tr r="AG23" s="1"/>
        <tr r="AG8" s="1"/>
        <tr r="AG12" s="1"/>
        <tr r="F15" s="1"/>
        <tr r="F13" s="1"/>
        <tr r="Z22" s="1"/>
        <tr r="AG7" s="1"/>
        <tr r="F11" s="1"/>
        <tr r="V28" s="1"/>
        <tr r="AG20" s="1"/>
        <tr r="AG21" s="1"/>
        <tr r="AG9" s="1"/>
        <tr r="AG26" s="1"/>
        <tr r="AG24" s="1"/>
        <tr r="AG29" s="1"/>
        <tr r="AG27" s="1"/>
        <tr r="I10" s="1"/>
        <tr r="AB21" s="1"/>
        <tr r="AB24" s="1"/>
        <tr r="I22" s="1"/>
        <tr r="I12" s="1"/>
        <tr r="U13" s="1"/>
        <tr r="AH13" s="1"/>
        <tr r="AH12" s="1"/>
        <tr r="AH7" s="1"/>
        <tr r="AE19" s="1"/>
        <tr r="AE22" s="1"/>
        <tr r="AK6" s="1"/>
        <tr r="AK10" s="1"/>
        <tr r="AK13" s="1"/>
        <tr r="AK16" s="1"/>
        <tr r="AK24" s="1"/>
        <tr r="AM26" s="1"/>
        <tr r="AM21" s="1"/>
        <tr r="U10" s="1"/>
        <tr r="U22" s="1"/>
        <tr r="U27" s="1"/>
        <tr r="AM13" s="1"/>
        <tr r="AM23" s="1"/>
        <tr r="AM29" s="1"/>
        <tr r="AM19" s="1"/>
        <tr r="U19" s="1"/>
        <tr r="W8" s="1"/>
        <tr r="W7" s="1"/>
        <tr r="W12" s="1"/>
        <tr r="AH25" s="1"/>
        <tr r="AH15" s="1"/>
        <tr r="AD8" s="1"/>
        <tr r="AD21" s="1"/>
        <tr r="AD26" s="1"/>
        <tr r="AD29" s="1"/>
        <tr r="Y13" s="1"/>
        <tr r="Y17" s="1"/>
        <tr r="Y7" s="1"/>
        <tr r="Q29" s="1"/>
        <tr r="W11" s="1"/>
        <tr r="W26" s="1"/>
        <tr r="S20" s="1"/>
        <tr r="Q21" s="1"/>
        <tr r="Q9" s="1"/>
        <tr r="R29" s="1"/>
        <tr r="Y25" s="1"/>
        <tr r="Y27" s="1"/>
        <tr r="Y16" s="1"/>
        <tr r="Q19" s="1"/>
        <tr r="Q23" s="1"/>
        <tr r="Q28" s="1"/>
        <tr r="R13" s="1"/>
        <tr r="R8" s="1"/>
        <tr r="AD19" s="1"/>
        <tr r="AD20" s="1"/>
        <tr r="R11" s="1"/>
        <tr r="R10" s="1"/>
        <tr r="R9" s="1"/>
        <tr r="S11" s="1"/>
        <tr r="S6" s="1"/>
        <tr r="S28" s="1"/>
        <tr r="Z19" s="1"/>
        <tr r="X28" s="1"/>
        <tr r="AC12" s="1"/>
        <tr r="AJ9" s="1"/>
        <tr r="V20" s="1"/>
        <tr r="V8" s="1"/>
        <tr r="N22" s="1"/>
        <tr r="N18" s="1"/>
        <tr r="O15" s="1"/>
        <tr r="O13" s="1"/>
        <tr r="O22" s="1"/>
        <tr r="O10" s="1"/>
        <tr r="N17" s="1"/>
        <tr r="N9" s="1"/>
        <tr r="N6" s="1"/>
        <tr r="Z26" s="1"/>
        <tr r="Z12" s="1"/>
        <tr r="AC14" s="1"/>
        <tr r="AC21" s="1"/>
        <tr r="AC15" s="1"/>
        <tr r="AC20" s="1"/>
        <tr r="AC10" s="1"/>
        <tr r="K12" s="1"/>
        <tr r="X24" s="1"/>
        <tr r="X20" s="1"/>
        <tr r="X25" s="1"/>
        <tr r="AJ28" s="1"/>
        <tr r="AJ25" s="1"/>
        <tr r="K6" s="1"/>
        <tr r="K14" s="1"/>
        <tr r="K29" s="1"/>
        <tr r="X10" s="1"/>
        <tr r="I18" s="1"/>
        <tr r="I9" s="1"/>
        <tr r="AB8" s="1"/>
        <tr r="AB18" s="1"/>
        <tr r="AB26" s="1"/>
        <tr r="I14" s="1"/>
        <tr r="I23" s="1"/>
        <tr r="I19" s="1"/>
        <tr r="U6" s="1"/>
        <tr r="AH20" s="1"/>
        <tr r="AH24" s="1"/>
        <tr r="AH19" s="1"/>
        <tr r="AE28" s="1"/>
        <tr r="AE25" s="1"/>
        <tr r="AE15" s="1"/>
        <tr r="AK7" s="1"/>
        <tr r="AK22" s="1"/>
        <tr r="AK14" s="1"/>
        <tr r="AK19" s="1"/>
        <tr r="AM17" s="1"/>
        <tr r="AM15" s="1"/>
        <tr r="AM16" s="1"/>
        <tr r="U28" s="1"/>
        <tr r="U24" s="1"/>
        <tr r="U25" s="1"/>
        <tr r="AM6" s="1"/>
        <tr r="AM24" s="1"/>
        <tr r="U21" s="1"/>
        <tr r="U16" s="1"/>
        <tr r="U26" s="1"/>
        <tr r="W22" s="1"/>
        <tr r="AH9" s="1"/>
        <tr r="AH10" s="1"/>
        <tr r="AH16" s="1"/>
        <tr r="AD24" s="1"/>
        <tr r="AD9" s="1"/>
        <tr r="Y8" s="1"/>
        <tr r="Y12" s="1"/>
        <tr r="Q10" s="1"/>
        <tr r="W10" s="1"/>
        <tr r="W25" s="1"/>
        <tr r="S29" s="1"/>
        <tr r="S21" s="1"/>
        <tr r="Q27" s="1"/>
        <tr r="R6" s="1"/>
        <tr r="O9" s="1"/>
        <tr r="Y21" s="1"/>
        <tr r="Q11" s="1"/>
        <tr r="Q25" s="1"/>
        <tr r="R15" s="1"/>
        <tr r="R16" s="1"/>
        <tr r="R25" s="1"/>
        <tr r="AD6" s="1"/>
        <tr r="AD7" s="1"/>
        <tr r="R27" s="1"/>
        <tr r="R17" s="1"/>
        <tr r="S13" s="1"/>
        <tr r="S17" s="1"/>
        <tr r="Z21" s="1"/>
        <tr r="N21" s="1"/>
        <tr r="X18" s="1"/>
        <tr r="AC6" s="1"/>
        <tr r="AJ22" s="1"/>
        <tr r="V29" s="1"/>
        <tr r="V9" s="1"/>
        <tr r="V11" s="1"/>
        <tr r="N25" s="1"/>
        <tr r="N14" s="1"/>
        <tr r="O16" s="1"/>
        <tr r="O8" s="1"/>
        <tr r="O11" s="1"/>
        <tr r="N10" s="1"/>
        <tr r="N24" s="1"/>
        <tr r="Z13" s="1"/>
        <tr r="Z27" s="1"/>
        <tr r="Z11" s="1"/>
        <tr r="AC26" s="1"/>
        <tr r="AC17" s="1"/>
        <tr r="X13" s="1"/>
        <tr r="AJ18" s="1"/>
        <tr r="AJ10" s="1"/>
        <tr r="F23" s="1"/>
        <tr r="K11" s="1"/>
        <tr r="K28" s="1"/>
        <tr r="K21" s="1"/>
        <tr r="K26" s="1"/>
        <tr r="K8" s="1"/>
        <tr r="X26" s="1"/>
        <tr r="X23" s="1"/>
        <tr r="X8" s="1"/>
        <tr r="AJ12" s="1"/>
        <tr r="AJ11" s="1"/>
        <tr r="I21" s="1"/>
        <tr r="I20" s="1"/>
        <tr r="I8" s="1"/>
        <tr r="AB12" s="1"/>
        <tr r="AB20" s="1"/>
        <tr r="I7" s="1"/>
        <tr r="I28" s="1"/>
        <tr r="U23" s="1"/>
        <tr r="AH29" s="1"/>
        <tr r="AH18" s="1"/>
        <tr r="AE10" s="1"/>
        <tr r="AE24" s="1"/>
        <tr r="AK11" s="1"/>
        <tr r="AK23" s="1"/>
        <tr r="AK29" s="1"/>
        <tr r="AK28" s="1"/>
        <tr r="AK26" s="1"/>
        <tr r="AK18" s="1"/>
        <tr r="AM12" s="1"/>
        <tr r="AM8" s="1"/>
        <tr r="U11" s="1"/>
        <tr r="U8" s="1"/>
        <tr r="AM14" s="1"/>
        <tr r="AM7" s="1"/>
        <tr r="U20" s="1"/>
        <tr r="U9" s="1"/>
        <tr r="U17" s="1"/>
        <tr r="W24" s="1"/>
        <tr r="W20" s="1"/>
        <tr r="AH21" s="1"/>
        <tr r="AH27" s="1"/>
        <tr r="Y10" s="1"/>
        <tr r="AD25" s="1"/>
        <tr r="AD23" s="1"/>
        <tr r="Y18" s="1"/>
        <tr r="Y26" s="1"/>
        <tr r="S25" s="1"/>
        <tr r="W9" s="1"/>
        <tr r="S16" s="1"/>
        <tr r="S27" s="1"/>
        <tr r="S19" s="1"/>
        <tr r="Q15" s="1"/>
        <tr r="Q8" s="1"/>
        <tr r="Q22" s="1"/>
        <tr r="O12" s="1"/>
        <tr r="Y20" s="1"/>
        <tr r="Y15" s="1"/>
        <tr r="Q20" s="1"/>
        <tr r="Q13" s="1"/>
        <tr r="R19" s="1"/>
        <tr r="R21" s="1"/>
        <tr r="AD11" s="1"/>
        <tr r="AD28" s="1"/>
        <tr r="V6" s="1"/>
        <tr r="R7" s="1"/>
        <tr r="S9" s="1"/>
        <tr r="V19" s="1"/>
        <tr r="V10" s="1"/>
        <tr r="N28" s="1"/>
        <tr r="N19" s="1"/>
        <tr r="N16" s="1"/>
        <tr r="O14" s="1"/>
        <tr r="O28" s="1"/>
        <tr r="O20" s="1"/>
        <tr r="O7" s="1"/>
        <tr r="N15" s="1"/>
        <tr r="N7" s="1"/>
        <tr r="Z25" s="1"/>
        <tr r="Z8" s="1"/>
        <tr r="AC11" s="1"/>
        <tr r="AC7" s="1"/>
        <tr r="AC28" s="1"/>
        <tr r="AC27" s="1"/>
        <tr r="AC24" s="1"/>
        <tr r="AC18" s="1"/>
        <tr r="K27" s="1"/>
        <tr r="X6" s="1"/>
        <tr r="X19" s="1"/>
        <tr r="X17" s="1"/>
        <tr r="AJ20" s="1"/>
        <tr r="K19" s="1"/>
        <tr r="K22" s="1"/>
        <tr r="K23" s="1"/>
        <tr r="X16" s="1"/>
        <tr r="AJ26" s="1"/>
        <tr r="I6" s="1"/>
        <tr r="I25" s="1"/>
        <tr r="I15" s="1"/>
        <tr r="AB10" s="1"/>
        <tr r="AB11" s="1"/>
        <tr r="AB22" s="1"/>
        <tr r="I17" s="1"/>
        <tr r="I24" s="1"/>
        <tr r="U14" s="1"/>
        <tr r="AH14" s="1"/>
        <tr r="AH17" s="1"/>
        <tr r="AE16" s="1"/>
        <tr r="AE29" s="1"/>
        <tr r="AE26" s="1"/>
        <tr r="AK8" s="1"/>
        <tr r="AK20" s="1"/>
        <tr r="AK12" s="1"/>
        <tr r="AK15" s="1"/>
        <tr r="AK17" s="1"/>
        <tr r="AM18" s="1"/>
        <tr r="AM25" s="1"/>
        <tr r="AM10" s="1"/>
        <tr r="U15" s="1"/>
        <tr r="U7" s="1"/>
        <tr r="AM27" s="1"/>
        <tr r="U12" s="1"/>
        <tr r="W18" s="1"/>
        <tr r="W29" s="1"/>
        <tr r="AH28" s="1"/>
        <tr r="AH11" s="1"/>
        <tr r="AD14" s="1"/>
        <tr r="Y19" s="1"/>
        <tr r="AD15" s="1"/>
        <tr r="AD22" s="1"/>
        <tr r="Y14" s="1"/>
        <tr r="Y23" s="1"/>
        <tr r="Y28" s="1"/>
        <tr r="S10" s="1"/>
        <tr r="W19" s="1"/>
        <tr r="W21" s="1"/>
        <tr r="W28" s="1"/>
        <tr r="S23" s="1"/>
        <tr r="S18" s="1"/>
        <tr r="S15" s="1"/>
        <tr r="Q6" s="1"/>
        <tr r="Q17" s="1"/>
        <tr r="R20" s="1"/>
        <tr r="Y9" s="1"/>
        <tr r="Y29" s="1"/>
        <tr r="Q12" s="1"/>
        <tr r="Q16" s="1"/>
        <tr r="R14" s="1"/>
        <tr r="R26" s="1"/>
        <tr r="AD27" s="1"/>
        <tr r="AD18" s="1"/>
        <tr r="V25" s="1"/>
        <tr r="R22" s="1"/>
        <tr r="R28" s="1"/>
        <tr r="S26" s="1"/>
        <tr r="S8" s="1"/>
        <tr r="S7" s="1"/>
        <tr r="N27" s="1"/>
        <tr r="X22" s="1"/>
        <tr r="AJ17" s="1"/>
        <tr r="V12" s="1"/>
        <tr r="V26" s="1"/>
        <tr r="V14" s="1"/>
        <tr r="N26" s="1"/>
        <tr r="O23" s="1"/>
        <tr r="O6" s="1"/>
        <tr r="O27" s="1"/>
        <tr r="O19" s="1"/>
        <tr r="O21" s="1"/>
        <tr r="N12" s="1"/>
        <tr r="N8" s="1"/>
        <tr r="Z14" s="1"/>
        <tr r="Z23" s="1"/>
        <tr r="AC13" s="1"/>
        <tr r="AC8" s="1"/>
        <tr r="AC22" s="1"/>
        <tr r="AC19" s="1"/>
        <tr r="AC25" s="1"/>
        <tr r="AC16" s="1"/>
        <tr r="K10" s="1"/>
        <tr r="X7" s="1"/>
        <tr r="X15" s="1"/>
        <tr r="X29" s="1"/>
        <tr r="X14" s="1"/>
        <tr r="AJ7" s="1"/>
        <tr r="AJ15" s="1"/>
        <tr r="F6" s="1"/>
        <tr r="K25" s="1"/>
        <tr r="K15" s="1"/>
        <tr r="X12" s="1"/>
        <tr r="K9" s="1"/>
        <tr r="K20" s="1"/>
        <tr r="K17" s="1"/>
        <tr r="X27" s="1"/>
        <tr r="AJ19" s="1"/>
        <tr r="AJ14" s="1"/>
        <tr r="AJ16" s="1"/>
        <tr r="I11" s="1"/>
        <tr r="I13" s="1"/>
        <tr r="I27" s="1"/>
        <tr r="AH8" s="1"/>
        <tr r="AK27" s="1"/>
        <tr r="AM11" s="1"/>
        <tr r="AM22" s="1"/>
        <tr r="U18" s="1"/>
        <tr r="U29" s="1"/>
        <tr r="W6" s="1"/>
        <tr r="W16" s="1"/>
        <tr r="AH22" s="1"/>
        <tr r="AD13" s="1"/>
        <tr r="Y6" s="1"/>
        <tr r="AD12" s="1"/>
        <tr r="AD17" s="1"/>
        <tr r="Y22" s="1"/>
        <tr r="Q18" s="1"/>
        <tr r="S24" s="1"/>
        <tr r="W27" s="1"/>
        <tr r="W23" s="1"/>
        <tr r="S22" s="1"/>
        <tr r="Q24" s="1"/>
        <tr r="Q7" s="1"/>
        <tr r="O24" s="1"/>
        <tr r="Y11" s="1"/>
        <tr r="Y24" s="1"/>
        <tr r="Q26" s="1"/>
        <tr r="Q14" s="1"/>
        <tr r="R23" s="1"/>
        <tr r="R18" s="1"/>
        <tr r="AD10" s="1"/>
        <tr r="AD16" s="1"/>
        <tr r="V22" s="1"/>
        <tr r="R12" s="1"/>
        <tr r="R24" s="1"/>
        <tr r="S12" s="1"/>
        <tr r="S14" s="1"/>
        <tr r="Z18" s="1"/>
        <tr r="N20" s="1"/>
        <tr r="AC23" s="1"/>
        <tr r="V13" s="1"/>
        <tr r="N29" s="1"/>
        <tr r="N11" s="1"/>
        <tr r="N13" s="1"/>
        <tr r="O29" s="1"/>
        <tr r="O25" s="1"/>
        <tr r="O18" s="1"/>
        <tr r="O26" s="1"/>
        <tr r="O17" s="1"/>
        <tr r="N23" s="1"/>
        <tr r="Z24" s="1"/>
        <tr r="Z20" s="1"/>
        <tr r="AC29" s="1"/>
        <tr r="AC9" s="1"/>
        <tr r="AJ24" s="1"/>
        <tr r="AJ29" s="1"/>
        <tr r="AJ6" s="1"/>
        <tr r="F17" s="1"/>
        <tr r="K13" s="1"/>
        <tr r="K18" s="1"/>
        <tr r="K16" s="1"/>
        <tr r="K24" s="1"/>
        <tr r="K7" s="1"/>
        <tr r="X9" s="1"/>
        <tr r="X11" s="1"/>
        <tr r="X21" s="1"/>
        <tr r="AJ13" s="1"/>
        <tr r="AJ21" s="1"/>
        <tr r="AJ8" s="1"/>
        <tr r="AJ27" s="1"/>
        <tr r="AJ23" s="1"/>
        <tr r="AH23" s="1"/>
        <tr r="AH6" s="1"/>
        <tr r="P19" s="1"/>
        <tr r="P23" s="1"/>
        <tr r="T24" s="1"/>
        <tr r="T15" s="1"/>
        <tr r="AB14" s="1"/>
        <tr r="P10" s="1"/>
        <tr r="P17" s="1"/>
        <tr r="AH26" s="1"/>
        <tr r="P8" s="1"/>
        <tr r="P6" s="1"/>
        <tr r="P22" s="1"/>
        <tr r="T28" s="1"/>
        <tr r="T16" s="1"/>
        <tr r="I16" s="1"/>
        <tr r="AB29" s="1"/>
        <tr r="AB19" s="1"/>
        <tr r="P9" s="1"/>
        <tr r="P24" s="1"/>
        <tr r="P16" s="1"/>
        <tr r="P25" s="1"/>
        <tr r="T23" s="1"/>
        <tr r="T27" s="1"/>
        <tr r="AB27" s="1"/>
        <tr r="AB9" s="1"/>
        <tr r="P12" s="1"/>
        <tr r="P29" s="1"/>
        <tr r="P14" s="1"/>
        <tr r="T20" s="1"/>
        <tr r="T7" s="1"/>
        <tr r="I26" s="1"/>
        <tr r="AB13" s="1"/>
        <tr r="AB23" s="1"/>
        <tr r="AB6" s="1"/>
        <tr r="P26" s="1"/>
        <tr r="P27" s="1"/>
        <tr r="P18" s="1"/>
        <tr r="P13" s="1"/>
        <tr r="T21" s="1"/>
        <tr r="T17" s="1"/>
        <tr r="I29" s="1"/>
        <tr r="AB28" s="1"/>
        <tr r="AB7" s="1"/>
        <tr r="AB15" s="1"/>
        <tr r="P11" s="1"/>
        <tr r="P20" s="1"/>
        <tr r="P7" s="1"/>
        <tr r="AE27" s="1"/>
        <tr r="AE18" s="1"/>
        <tr r="AE17" s="1"/>
        <tr r="AE23" s="1"/>
        <tr r="AE6" s="1"/>
        <tr r="W15" s="1"/>
        <tr r="AE14" s="1"/>
        <tr r="W13" s="1"/>
        <tr r="AK25" s="1"/>
        <tr r="AM9" s="1"/>
        <tr r="AK21" s="1"/>
        <tr r="AM20" s="1"/>
        <tr r="AK9" s="1"/>
        <tr r="AE11" s="1"/>
        <tr r="AM28" s="1"/>
        <tr r="AE13" s="1"/>
        <tr r="AE12" s="1"/>
        <tr r="W14" s="1"/>
        <tr r="AE7" s="1"/>
        <tr r="AE9" s="1"/>
        <tr r="W17" s="1"/>
        <tr r="T9" s="1"/>
        <tr r="T14" s="1"/>
        <tr r="T29" s="1"/>
        <tr r="AE8" s="1"/>
        <tr r="AB25" s="1"/>
        <tr r="AB17" s="1"/>
        <tr r="T6" s="1"/>
        <tr r="T10" s="1"/>
        <tr r="T11" s="1"/>
        <tr r="AE21" s="1"/>
        <tr r="T8" s="1"/>
        <tr r="AB16" s="1"/>
        <tr r="T18" s="1"/>
        <tr r="T13" s="1"/>
        <tr r="AE20" s="1"/>
        <tr r="T19" s="1"/>
        <tr r="T12" s="1"/>
        <tr r="T26" s="1"/>
        <tr r="T22" s="1"/>
        <tr r="T25" s="1"/>
        <tr r="AF10" s="1"/>
        <tr r="D15" s="1"/>
        <tr r="L27" s="1"/>
        <tr r="L18" s="1"/>
        <tr r="J29" s="1"/>
        <tr r="H19" s="1"/>
        <tr r="H29" s="1"/>
        <tr r="E11" s="1"/>
        <tr r="J11" s="1"/>
        <tr r="AF15" s="1"/>
        <tr r="AF23" s="1"/>
        <tr r="AF14" s="1"/>
        <tr r="D26" s="1"/>
        <tr r="L22" s="1"/>
        <tr r="D21" s="1"/>
        <tr r="J14" s="1"/>
        <tr r="J18" s="1"/>
        <tr r="H11" s="1"/>
        <tr r="L19" s="1"/>
        <tr r="E23" s="1"/>
        <tr r="AF12" s="1"/>
        <tr r="D29" s="1"/>
        <tr r="L20" s="1"/>
        <tr r="D28" s="1"/>
        <tr r="H22" s="1"/>
        <tr r="L23" s="1"/>
        <tr r="E27" s="1"/>
        <tr r="D12" s="1"/>
        <tr r="L10" s="1"/>
        <tr r="D8" s="1"/>
        <tr r="J26" s="1"/>
        <tr r="H16" s="1"/>
        <tr r="E9" s="1"/>
        <tr r="J27" s="1"/>
        <tr r="AF9" s="1"/>
        <tr r="D19" s="1"/>
        <tr r="D16" s="1"/>
        <tr r="J6" s="1"/>
        <tr r="J19" s="1"/>
        <tr r="L28" s="1"/>
        <tr r="J9" s="1"/>
        <tr r="AF19" s="1"/>
        <tr r="AF7" s="1"/>
        <tr r="L8" s="1"/>
        <tr r="L25" s="1"/>
        <tr r="J23" s="1"/>
        <tr r="H27" s="1"/>
        <tr r="E29" s="1"/>
        <tr r="E7" s="1"/>
        <tr r="E12" s="1"/>
        <tr r="P28" s="1"/>
        <tr r="J12" s="1"/>
        <tr r="AF13" s="1"/>
        <tr r="D18" s="1"/>
        <tr r="J13" s="1"/>
        <tr r="J7" s="1"/>
        <tr r="H10" s="1"/>
        <tr r="H28" s="1"/>
        <tr r="P21" s="1"/>
        <tr r="AF26" s="1"/>
        <tr r="AF16" s="1"/>
        <tr r="L12" s="1"/>
        <tr r="L15" s="1"/>
        <tr r="L11" s="1"/>
        <tr r="J17" s="1"/>
        <tr r="J22" s="1"/>
        <tr r="H24" s="1"/>
        <tr r="H17" s="1"/>
        <tr r="E19" s="1"/>
        <tr r="E28" s="1"/>
        <tr r="E17" s="1"/>
        <tr r="P15" s="1"/>
        <tr r="J16" s="1"/>
        <tr r="J10" s="1"/>
        <tr r="J8" s="1"/>
        <tr r="J25" s="1"/>
        <tr r="J24" s="1"/>
        <tr r="J21" s="1"/>
        <tr r="M11" s="1"/>
        <tr r="M27" s="1"/>
        <tr r="AA10" s="1"/>
        <tr r="G8" s="1"/>
        <tr r="L24" s="1"/>
        <tr r="AI7" s="1"/>
        <tr r="M25" s="1"/>
        <tr r="M24" s="1"/>
        <tr r="AA17" s="1"/>
        <tr r="AA9" s="1"/>
        <tr r="G13" s="1"/>
        <tr r="G17" s="1"/>
        <tr r="G23" s="1"/>
        <tr r="L26" s="1"/>
        <tr r="L9" s="1"/>
        <tr r="M26" s="1"/>
        <tr r="M22" s="1"/>
        <tr r="AI17" s="1"/>
        <tr r="AI14" s="1"/>
        <tr r="AI27" s="1"/>
        <tr r="AF18" s="1"/>
        <tr r="AF24" s="1"/>
        <tr r="AI15" s="1"/>
        <tr r="AI28" s="1"/>
        <tr r="AL18" s="1"/>
        <tr r="D6" s="1"/>
        <tr r="M8" s="1"/>
        <tr r="AA12" s="1"/>
        <tr r="G26" s="1"/>
        <tr r="G15" s="1"/>
        <tr r="G21" s="1"/>
        <tr r="L6" s="1"/>
        <tr r="L21" s="1"/>
        <tr r="M19" s="1"/>
        <tr r="M28" s="1"/>
        <tr r="AI26" s="1"/>
        <tr r="AI13" s="1"/>
        <tr r="AF27" s="1"/>
        <tr r="AF21" s="1"/>
        <tr r="AI23" s="1"/>
        <tr r="AI12" s="1"/>
        <tr r="AI10" s="1"/>
        <tr r="AL19" s="1"/>
        <tr r="AL10" s="1"/>
        <tr r="M20" s="1"/>
        <tr r="M23" s="1"/>
        <tr r="AA23" s="1"/>
        <tr r="AA25" s="1"/>
        <tr r="G14" s="1"/>
        <tr r="G6" s="1"/>
        <tr r="L16" s="1"/>
        <tr r="L17" s="1"/>
        <tr r="L14" s="1"/>
        <tr r="M12" s="1"/>
        <tr r="M18" s="1"/>
        <tr r="AI18" s="1"/>
        <tr r="AI8" s="1"/>
        <tr r="AF22" s="1"/>
        <tr r="AF29" s="1"/>
        <tr r="AI16" s="1"/>
        <tr r="AI20" s="1"/>
        <tr r="AL7" s="1"/>
        <tr r="D7" s="1"/>
        <tr r="M17" s="1"/>
        <tr r="M6" s="1"/>
        <tr r="AA16" s="1"/>
        <tr r="AA27" s="1"/>
        <tr r="G16" s="1"/>
        <tr r="L7" s="1"/>
        <tr r="M29" s="1"/>
        <tr r="M10" s="1"/>
        <tr r="AI22" s="1"/>
        <tr r="AF25" s="1"/>
        <tr r="AF17" s="1"/>
        <tr r="AI25" s="1"/>
        <tr r="AI19" s="1"/>
        <tr r="AL22" s="1"/>
        <tr r="D20" s="1"/>
        <tr r="M15" s="1"/>
        <tr r="AA18" s="1"/>
        <tr r="AA7" s="1"/>
        <tr r="G11" s="1"/>
        <tr r="L29" s="1"/>
        <tr r="L13" s="1"/>
        <tr r="M16" s="1"/>
        <tr r="M7" s="1"/>
        <tr r="AI24" s="1"/>
        <tr r="AI21" s="1"/>
        <tr r="AF20" s="1"/>
        <tr r="AF28" s="1"/>
        <tr r="AI29" s="1"/>
        <tr r="AL21" s="1"/>
        <tr r="AL8" s="1"/>
        <tr r="AL23" s="1"/>
        <tr r="AL25" s="1"/>
        <tr r="AL15" s="1"/>
        <tr r="D25" s="1"/>
        <tr r="D13" s="1"/>
        <tr r="D14" s="1"/>
        <tr r="D24" s="1"/>
        <tr r="D11" s="1"/>
        <tr r="D10" s="1"/>
        <tr r="D27" s="1"/>
        <tr r="D17" s="1"/>
        <tr r="M14" s="1"/>
        <tr r="AL20" s="1"/>
        <tr r="E22" s="1"/>
        <tr r="H8" s="1"/>
        <tr r="H15" s="1"/>
        <tr r="M13" s="1"/>
        <tr r="AL24" s="1"/>
        <tr r="E16" s="1"/>
        <tr r="H14" s="1"/>
        <tr r="H21" s="1"/>
        <tr r="E24" s="1"/>
        <tr r="H20" s="1"/>
        <tr r="H6" s="1"/>
        <tr r="E6" s="1"/>
        <tr r="E14" s="1"/>
        <tr r="H26" s="1"/>
        <tr r="H7" s="1"/>
        <tr r="AA29" s="1"/>
        <tr r="AA14" s="1"/>
        <tr r="AA20" s="1"/>
        <tr r="AA26" s="1"/>
        <tr r="AA22" s="1"/>
        <tr r="AA19" s="1"/>
        <tr r="G28" s="1"/>
        <tr r="G10" s="1"/>
        <tr r="AL11" s="1"/>
        <tr r="G7" s="1"/>
        <tr r="AL29" s="1"/>
        <tr r="AL26" s="1"/>
        <tr r="AL6" s="1"/>
        <tr r="G22" s="1"/>
        <tr r="AL12" s="1"/>
        <tr r="G18" s="1"/>
        <tr r="M9" s="1"/>
        <tr r="M21" s="1"/>
        <tr r="AL16" s="1"/>
        <tr r="H13" s="1"/>
        <tr r="E26" s="1"/>
        <tr r="H9" s="1"/>
        <tr r="E25" s="1"/>
        <tr r="E15" s="1"/>
        <tr r="E8" s="1"/>
        <tr r="E13" s="1"/>
        <tr r="E21" s="1"/>
        <tr r="H18" s="1"/>
        <tr r="AA8" s="1"/>
        <tr r="AA13" s="1"/>
        <tr r="AA28" s="1"/>
        <tr r="AA15" s="1"/>
        <tr r="AA6" s="1"/>
        <tr r="AL13" s="1"/>
        <tr r="AL14" s="1"/>
        <tr r="AL17" s="1"/>
        <tr r="G25" s="1"/>
        <tr r="AL27" s="1"/>
        <tr r="G29" s="1"/>
        <tr r="AL9" s="1"/>
        <tr r="G12" s="1"/>
        <tr r="G19" s="1"/>
        <tr r="AL28" s="1"/>
        <tr r="G9" s="1"/>
        <tr r="AI11" s="1"/>
        <tr r="H12" s="1"/>
        <tr r="J15" s="1"/>
        <tr r="AF11" s="1"/>
        <tr r="G20" s="1"/>
        <tr r="E18" s="1"/>
        <tr r="H25" s="1"/>
        <tr r="E10" s="1"/>
        <tr r="D9" s="1"/>
        <tr r="AF8" s="1"/>
        <tr r="G27" s="1"/>
        <tr r="J28" s="1"/>
        <tr r="AF6" s="1"/>
        <tr r="H23" s="1"/>
        <tr r="E20" s="1"/>
        <tr r="D23" s="1"/>
        <tr r="D22" s="1"/>
        <tr r="G24" s="1"/>
        <tr r="AI6" s="1"/>
        <tr r="AI9" s="1"/>
        <tr r="J20" s="1"/>
        <tr r="AA24" s="1"/>
        <tr r="AA11" s="1"/>
        <tr r="AA21" s="1"/>
        <tr r="AM5" s="1"/>
        <tr r="AJ5" s="1"/>
        <tr r="AG5" s="1"/>
        <tr r="AD5" s="1"/>
        <tr r="AA5" s="1"/>
        <tr r="X5" s="1"/>
        <tr r="V5" s="1"/>
        <tr r="S5" s="1"/>
        <tr r="O5" s="1"/>
        <tr r="J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AK5" s="1"/>
        <tr r="AH5" s="1"/>
        <tr r="AE5" s="1"/>
        <tr r="AB5" s="1"/>
        <tr r="Y5" s="1"/>
        <tr r="T5" s="1"/>
        <tr r="Q5" s="1"/>
        <tr r="N5" s="1"/>
        <tr r="H5" s="1"/>
        <tr r="H5" s="1"/>
        <tr r="H5" s="1"/>
        <tr r="H5" s="1"/>
        <tr r="H5" s="1"/>
        <tr r="H5" s="1"/>
        <tr r="H5" s="1"/>
        <tr r="H5" s="1"/>
        <tr r="H5" s="1"/>
        <tr r="AL5" s="1"/>
        <tr r="AI5" s="1"/>
        <tr r="AF5" s="1"/>
        <tr r="AC5" s="1"/>
        <tr r="Z5" s="1"/>
        <tr r="U5" s="1"/>
        <tr r="R5" s="1"/>
        <tr r="P5" s="1"/>
        <tr r="M5" s="1"/>
        <tr r="L5" s="1"/>
        <tr r="K5" s="1"/>
        <tr r="I5" s="1"/>
        <tr r="G5" s="1"/>
        <tr r="F5" s="1"/>
        <tr r="E5" s="1"/>
        <tr r="D5" s="1"/>
      </tp>
      <tp t="s">
        <v>#N/A N/A</v>
        <stp/>
        <stp>BDP|36415718277662301</stp>
        <tr r="U20" s="1"/>
      </tp>
    </main>
    <main first="bofaddin.rtdserver">
      <tp t="s">
        <v>#N/A N/A</v>
        <stp/>
        <stp>BDP|97175479496484446</stp>
        <tr r="H11" s="1"/>
      </tp>
      <tp t="s">
        <v>#N/A N/A</v>
        <stp/>
        <stp>BDP|421281916082753419</stp>
        <tr r="I6" s="1"/>
      </tp>
      <tp t="s">
        <v>#N/A N/A</v>
        <stp/>
        <stp>BDP|333716808166992437</stp>
        <tr r="S5" s="1"/>
      </tp>
      <tp t="s">
        <v>#N/A N/A</v>
        <stp/>
        <stp>BDP|475776895902520931</stp>
        <tr r="V29" s="1"/>
      </tp>
      <tp t="s">
        <v>#N/A N/A</v>
        <stp/>
        <stp>BDP|842031467696504582</stp>
        <tr r="C29" s="1"/>
      </tp>
      <tp t="s">
        <v>#N/A N/A</v>
        <stp/>
        <stp>BDP|923048872435543652</stp>
        <tr r="N17" s="1"/>
      </tp>
      <tp t="s">
        <v>#N/A N/A</v>
        <stp/>
        <stp>BDP|265892086622182632</stp>
        <tr r="W5" s="1"/>
      </tp>
      <tp t="s">
        <v>#N/A N/A</v>
        <stp/>
        <stp>BDP|484016460862986067</stp>
        <tr r="M20" s="1"/>
      </tp>
      <tp t="s">
        <v>#N/A N/A</v>
        <stp/>
        <stp>BDP|750598951990770437</stp>
        <tr r="AB14" s="1"/>
        <tr r="AB13" s="1"/>
      </tp>
      <tp t="s">
        <v>#N/A N/A</v>
        <stp/>
        <stp>BDP|662046317787449215</stp>
        <tr r="L6" s="1"/>
      </tp>
      <tp t="s">
        <v>#N/A N/A</v>
        <stp/>
        <stp>BDP|736984081100041660</stp>
        <tr r="D15" s="1"/>
      </tp>
      <tp t="s">
        <v>#N/A N/A</v>
        <stp/>
        <stp>BDP|726550626476246636</stp>
        <tr r="V20" s="1"/>
      </tp>
      <tp t="s">
        <v>#N/A N/A</v>
        <stp/>
        <stp>BDP|595497518900103362</stp>
        <tr r="P8" s="1"/>
      </tp>
      <tp t="s">
        <v>#N/A N/A</v>
        <stp/>
        <stp>BDP|954401464961558244</stp>
        <tr r="AL5" s="1"/>
      </tp>
      <tp t="s">
        <v>#N/A N/A</v>
        <stp/>
        <stp>BDP|738267511377960542</stp>
        <tr r="V9" s="1"/>
      </tp>
      <tp t="s">
        <v>#N/A N/A</v>
        <stp/>
        <stp>BDP|721696145564261728</stp>
        <tr r="G2" s="1"/>
      </tp>
      <tp t="s">
        <v>#N/A N/A</v>
        <stp/>
        <stp>BDP|467282325102869364</stp>
        <tr r="AE14" s="1"/>
        <tr r="AE13" s="1"/>
      </tp>
      <tp t="s">
        <v>#N/A N/A</v>
        <stp/>
        <stp>BTODAY|2371188678518069832</stp>
        <tr r="C6" s="1"/>
        <tr r="C6" s="1"/>
        <tr r="C20" s="1"/>
        <tr r="C20" s="1"/>
        <tr r="C21" s="1"/>
        <tr r="C21" s="1"/>
        <tr r="C7" s="1"/>
        <tr r="C7" s="1"/>
        <tr r="C18" s="1"/>
        <tr r="C18" s="1"/>
        <tr r="C19" s="1"/>
        <tr r="C19" s="1"/>
        <tr r="C17" s="1"/>
        <tr r="C17" s="1"/>
        <tr r="C22" s="1"/>
        <tr r="C22" s="1"/>
        <tr r="C23" s="1"/>
        <tr r="C23" s="1"/>
        <tr r="C11" s="1"/>
        <tr r="C11" s="1"/>
        <tr r="C29" s="1"/>
        <tr r="C29" s="1"/>
        <tr r="C26" s="1"/>
        <tr r="C26" s="1"/>
        <tr r="C25" s="1"/>
        <tr r="C25" s="1"/>
        <tr r="C27" s="1"/>
        <tr r="C27" s="1"/>
        <tr r="C8" s="1"/>
        <tr r="C8" s="1"/>
        <tr r="C28" s="1"/>
        <tr r="C28" s="1"/>
        <tr r="C10" s="1"/>
        <tr r="C10" s="1"/>
        <tr r="C15" s="1"/>
        <tr r="C15" s="1"/>
        <tr r="C12" s="1"/>
        <tr r="C12" s="1"/>
        <tr r="C16" s="1"/>
        <tr r="C16" s="1"/>
        <tr r="C14" s="1"/>
        <tr r="C14" s="1"/>
        <tr r="C13" s="1"/>
        <tr r="C13" s="1"/>
        <tr r="C24" s="1"/>
        <tr r="C24" s="1"/>
        <tr r="C9" s="1"/>
        <tr r="C9" s="1"/>
        <tr r="F27" s="1"/>
        <tr r="F27" s="1"/>
        <tr r="F9" s="1"/>
        <tr r="F9" s="1"/>
        <tr r="F24" s="1"/>
        <tr r="F24" s="1"/>
        <tr r="Z7" s="1"/>
        <tr r="Z7" s="1"/>
        <tr r="Z16" s="1"/>
        <tr r="Z16" s="1"/>
        <tr r="AG6" s="1"/>
        <tr r="AG6" s="1"/>
        <tr r="F19" s="1"/>
        <tr r="F19" s="1"/>
        <tr r="F22" s="1"/>
        <tr r="F22" s="1"/>
        <tr r="V16" s="1"/>
        <tr r="V16" s="1"/>
        <tr r="V21" s="1"/>
        <tr r="V21" s="1"/>
        <tr r="AG19" s="1"/>
        <tr r="AG19" s="1"/>
        <tr r="AG10" s="1"/>
        <tr r="AG10" s="1"/>
        <tr r="AG22" s="1"/>
        <tr r="AG22" s="1"/>
        <tr r="AG16" s="1"/>
        <tr r="AG16" s="1"/>
        <tr r="F16" s="1"/>
        <tr r="F16" s="1"/>
        <tr r="F18" s="1"/>
        <tr r="F18" s="1"/>
        <tr r="Z28" s="1"/>
        <tr r="Z28" s="1"/>
        <tr r="Z9" s="1"/>
        <tr r="Z9" s="1"/>
        <tr r="F26" s="1"/>
        <tr r="F26" s="1"/>
        <tr r="F10" s="1"/>
        <tr r="F10" s="1"/>
        <tr r="F20" s="1"/>
        <tr r="F20" s="1"/>
        <tr r="V27" s="1"/>
        <tr r="V27" s="1"/>
        <tr r="V23" s="1"/>
        <tr r="V23" s="1"/>
        <tr r="AG28" s="1"/>
        <tr r="AG28" s="1"/>
        <tr r="F25" s="1"/>
        <tr r="F25" s="1"/>
        <tr r="F14" s="1"/>
        <tr r="F14" s="1"/>
        <tr r="Z29" s="1"/>
        <tr r="Z29" s="1"/>
        <tr r="Z6" s="1"/>
        <tr r="Z6" s="1"/>
        <tr r="Z10" s="1"/>
        <tr r="Z10" s="1"/>
        <tr r="AG14" s="1"/>
        <tr r="AG14" s="1"/>
        <tr r="F21" s="1"/>
        <tr r="F21" s="1"/>
        <tr r="F29" s="1"/>
        <tr r="F29" s="1"/>
        <tr r="V24" s="1"/>
        <tr r="V24" s="1"/>
        <tr r="V17" s="1"/>
        <tr r="V17" s="1"/>
        <tr r="AG18" s="1"/>
        <tr r="AG18" s="1"/>
        <tr r="AG17" s="1"/>
        <tr r="AG17" s="1"/>
        <tr r="AG25" s="1"/>
        <tr r="AG25" s="1"/>
        <tr r="AG11" s="1"/>
        <tr r="AG11" s="1"/>
        <tr r="F28" s="1"/>
        <tr r="F28" s="1"/>
        <tr r="F12" s="1"/>
        <tr r="F12" s="1"/>
        <tr r="Z17" s="1"/>
        <tr r="Z17" s="1"/>
        <tr r="Z15" s="1"/>
        <tr r="Z15" s="1"/>
        <tr r="AG13" s="1"/>
        <tr r="AG13" s="1"/>
        <tr r="F7" s="1"/>
        <tr r="F7" s="1"/>
        <tr r="F8" s="1"/>
        <tr r="F8" s="1"/>
        <tr r="V18" s="1"/>
        <tr r="V18" s="1"/>
        <tr r="V15" s="1"/>
        <tr r="V15" s="1"/>
        <tr r="V7" s="1"/>
        <tr r="V7" s="1"/>
        <tr r="AG15" s="1"/>
        <tr r="AG15" s="1"/>
        <tr r="AG23" s="1"/>
        <tr r="AG23" s="1"/>
        <tr r="AG8" s="1"/>
        <tr r="AG8" s="1"/>
        <tr r="AG12" s="1"/>
        <tr r="AG12" s="1"/>
        <tr r="F15" s="1"/>
        <tr r="F15" s="1"/>
        <tr r="F13" s="1"/>
        <tr r="F13" s="1"/>
        <tr r="Z22" s="1"/>
        <tr r="Z22" s="1"/>
        <tr r="AG7" s="1"/>
        <tr r="AG7" s="1"/>
        <tr r="F11" s="1"/>
        <tr r="F11" s="1"/>
        <tr r="V28" s="1"/>
        <tr r="V28" s="1"/>
        <tr r="AG20" s="1"/>
        <tr r="AG20" s="1"/>
        <tr r="AG21" s="1"/>
        <tr r="AG21" s="1"/>
        <tr r="AG9" s="1"/>
        <tr r="AG9" s="1"/>
        <tr r="AG26" s="1"/>
        <tr r="AG26" s="1"/>
        <tr r="AG24" s="1"/>
        <tr r="AG24" s="1"/>
        <tr r="AG29" s="1"/>
        <tr r="AG29" s="1"/>
        <tr r="AG27" s="1"/>
        <tr r="AG27" s="1"/>
        <tr r="I10" s="1"/>
        <tr r="I10" s="1"/>
        <tr r="AB21" s="1"/>
        <tr r="AB21" s="1"/>
        <tr r="AB24" s="1"/>
        <tr r="AB24" s="1"/>
        <tr r="I22" s="1"/>
        <tr r="I22" s="1"/>
        <tr r="I12" s="1"/>
        <tr r="I12" s="1"/>
        <tr r="U13" s="1"/>
        <tr r="U13" s="1"/>
        <tr r="AH13" s="1"/>
        <tr r="AH13" s="1"/>
        <tr r="AH12" s="1"/>
        <tr r="AH12" s="1"/>
        <tr r="AH7" s="1"/>
        <tr r="AH7" s="1"/>
        <tr r="AE19" s="1"/>
        <tr r="AE19" s="1"/>
        <tr r="AE22" s="1"/>
        <tr r="AE22" s="1"/>
        <tr r="AK6" s="1"/>
        <tr r="AK6" s="1"/>
        <tr r="AK10" s="1"/>
        <tr r="AK10" s="1"/>
        <tr r="AK13" s="1"/>
        <tr r="AK13" s="1"/>
        <tr r="AK16" s="1"/>
        <tr r="AK16" s="1"/>
        <tr r="AK24" s="1"/>
        <tr r="AK24" s="1"/>
        <tr r="AM26" s="1"/>
        <tr r="AM26" s="1"/>
        <tr r="AM21" s="1"/>
        <tr r="AM21" s="1"/>
        <tr r="U10" s="1"/>
        <tr r="U10" s="1"/>
        <tr r="U22" s="1"/>
        <tr r="U22" s="1"/>
        <tr r="U27" s="1"/>
        <tr r="U27" s="1"/>
        <tr r="AM13" s="1"/>
        <tr r="AM13" s="1"/>
        <tr r="AM23" s="1"/>
        <tr r="AM23" s="1"/>
        <tr r="AM29" s="1"/>
        <tr r="AM29" s="1"/>
        <tr r="AM19" s="1"/>
        <tr r="AM19" s="1"/>
        <tr r="U19" s="1"/>
        <tr r="U19" s="1"/>
        <tr r="W8" s="1"/>
        <tr r="W8" s="1"/>
        <tr r="W7" s="1"/>
        <tr r="W7" s="1"/>
        <tr r="W12" s="1"/>
        <tr r="W12" s="1"/>
        <tr r="AH25" s="1"/>
        <tr r="AH25" s="1"/>
        <tr r="AH15" s="1"/>
        <tr r="AH15" s="1"/>
        <tr r="AD8" s="1"/>
        <tr r="AD8" s="1"/>
        <tr r="AD21" s="1"/>
        <tr r="AD21" s="1"/>
        <tr r="AD26" s="1"/>
        <tr r="AD26" s="1"/>
        <tr r="AD29" s="1"/>
        <tr r="AD29" s="1"/>
        <tr r="Y13" s="1"/>
        <tr r="Y13" s="1"/>
        <tr r="Y17" s="1"/>
        <tr r="Y17" s="1"/>
        <tr r="Y7" s="1"/>
        <tr r="Y7" s="1"/>
        <tr r="Q29" s="1"/>
        <tr r="Q29" s="1"/>
        <tr r="W11" s="1"/>
        <tr r="W11" s="1"/>
        <tr r="W26" s="1"/>
        <tr r="W26" s="1"/>
        <tr r="S20" s="1"/>
        <tr r="S20" s="1"/>
        <tr r="Q21" s="1"/>
        <tr r="Q21" s="1"/>
        <tr r="Q9" s="1"/>
        <tr r="Q9" s="1"/>
        <tr r="R29" s="1"/>
        <tr r="R29" s="1"/>
        <tr r="Y25" s="1"/>
        <tr r="Y25" s="1"/>
        <tr r="Y27" s="1"/>
        <tr r="Y27" s="1"/>
        <tr r="Y16" s="1"/>
        <tr r="Y16" s="1"/>
        <tr r="Q19" s="1"/>
        <tr r="Q19" s="1"/>
        <tr r="Q23" s="1"/>
        <tr r="Q23" s="1"/>
        <tr r="Q28" s="1"/>
        <tr r="Q28" s="1"/>
        <tr r="R13" s="1"/>
        <tr r="R13" s="1"/>
        <tr r="R8" s="1"/>
        <tr r="R8" s="1"/>
        <tr r="AD19" s="1"/>
        <tr r="AD19" s="1"/>
        <tr r="AD20" s="1"/>
        <tr r="AD20" s="1"/>
        <tr r="R11" s="1"/>
        <tr r="R11" s="1"/>
        <tr r="R10" s="1"/>
        <tr r="R10" s="1"/>
        <tr r="R9" s="1"/>
        <tr r="R9" s="1"/>
        <tr r="S11" s="1"/>
        <tr r="S11" s="1"/>
        <tr r="S6" s="1"/>
        <tr r="S6" s="1"/>
        <tr r="S28" s="1"/>
        <tr r="S28" s="1"/>
        <tr r="Z19" s="1"/>
        <tr r="Z19" s="1"/>
        <tr r="X28" s="1"/>
        <tr r="X28" s="1"/>
        <tr r="AC12" s="1"/>
        <tr r="AC12" s="1"/>
        <tr r="AJ9" s="1"/>
        <tr r="AJ9" s="1"/>
        <tr r="V20" s="1"/>
        <tr r="V20" s="1"/>
        <tr r="V8" s="1"/>
        <tr r="V8" s="1"/>
        <tr r="N22" s="1"/>
        <tr r="N22" s="1"/>
        <tr r="N18" s="1"/>
        <tr r="N18" s="1"/>
        <tr r="O15" s="1"/>
        <tr r="O15" s="1"/>
        <tr r="O13" s="1"/>
        <tr r="O13" s="1"/>
        <tr r="O22" s="1"/>
        <tr r="O22" s="1"/>
        <tr r="O10" s="1"/>
        <tr r="O10" s="1"/>
        <tr r="N17" s="1"/>
        <tr r="N17" s="1"/>
        <tr r="N9" s="1"/>
        <tr r="N9" s="1"/>
        <tr r="N6" s="1"/>
        <tr r="N6" s="1"/>
        <tr r="Z26" s="1"/>
        <tr r="Z26" s="1"/>
        <tr r="Z12" s="1"/>
        <tr r="Z12" s="1"/>
        <tr r="AC14" s="1"/>
        <tr r="AC14" s="1"/>
        <tr r="AC21" s="1"/>
        <tr r="AC21" s="1"/>
        <tr r="AC15" s="1"/>
        <tr r="AC15" s="1"/>
        <tr r="AC20" s="1"/>
        <tr r="AC20" s="1"/>
        <tr r="AC10" s="1"/>
        <tr r="AC10" s="1"/>
        <tr r="K12" s="1"/>
        <tr r="K12" s="1"/>
        <tr r="X24" s="1"/>
        <tr r="X24" s="1"/>
        <tr r="X20" s="1"/>
        <tr r="X20" s="1"/>
        <tr r="X25" s="1"/>
        <tr r="X25" s="1"/>
        <tr r="AJ28" s="1"/>
        <tr r="AJ28" s="1"/>
        <tr r="AJ25" s="1"/>
        <tr r="AJ25" s="1"/>
        <tr r="K6" s="1"/>
        <tr r="K6" s="1"/>
        <tr r="K14" s="1"/>
        <tr r="K14" s="1"/>
        <tr r="K29" s="1"/>
        <tr r="K29" s="1"/>
        <tr r="X10" s="1"/>
        <tr r="X10" s="1"/>
        <tr r="I18" s="1"/>
        <tr r="I18" s="1"/>
        <tr r="I9" s="1"/>
        <tr r="I9" s="1"/>
        <tr r="AB8" s="1"/>
        <tr r="AB8" s="1"/>
        <tr r="AB18" s="1"/>
        <tr r="AB18" s="1"/>
        <tr r="AB26" s="1"/>
        <tr r="AB26" s="1"/>
        <tr r="I14" s="1"/>
        <tr r="I14" s="1"/>
        <tr r="I23" s="1"/>
        <tr r="I23" s="1"/>
        <tr r="I19" s="1"/>
        <tr r="I19" s="1"/>
        <tr r="U6" s="1"/>
        <tr r="U6" s="1"/>
        <tr r="AH20" s="1"/>
        <tr r="AH20" s="1"/>
        <tr r="AH24" s="1"/>
        <tr r="AH24" s="1"/>
        <tr r="AH19" s="1"/>
        <tr r="AH19" s="1"/>
        <tr r="AE28" s="1"/>
        <tr r="AE28" s="1"/>
        <tr r="AE25" s="1"/>
        <tr r="AE25" s="1"/>
        <tr r="AE15" s="1"/>
        <tr r="AE15" s="1"/>
        <tr r="AK7" s="1"/>
        <tr r="AK7" s="1"/>
        <tr r="AK22" s="1"/>
        <tr r="AK22" s="1"/>
        <tr r="AK14" s="1"/>
        <tr r="AK14" s="1"/>
        <tr r="AK19" s="1"/>
        <tr r="AK19" s="1"/>
        <tr r="AM17" s="1"/>
        <tr r="AM17" s="1"/>
        <tr r="AM15" s="1"/>
        <tr r="AM15" s="1"/>
        <tr r="AM16" s="1"/>
        <tr r="AM16" s="1"/>
        <tr r="U28" s="1"/>
        <tr r="U28" s="1"/>
        <tr r="U24" s="1"/>
        <tr r="U24" s="1"/>
        <tr r="U25" s="1"/>
        <tr r="U25" s="1"/>
        <tr r="AM6" s="1"/>
        <tr r="AM6" s="1"/>
        <tr r="AM24" s="1"/>
        <tr r="AM24" s="1"/>
        <tr r="U21" s="1"/>
        <tr r="U21" s="1"/>
        <tr r="U16" s="1"/>
        <tr r="U16" s="1"/>
        <tr r="U26" s="1"/>
        <tr r="U26" s="1"/>
        <tr r="W22" s="1"/>
        <tr r="W22" s="1"/>
        <tr r="AH9" s="1"/>
        <tr r="AH9" s="1"/>
        <tr r="AH10" s="1"/>
        <tr r="AH10" s="1"/>
        <tr r="AH16" s="1"/>
        <tr r="AH16" s="1"/>
        <tr r="AD24" s="1"/>
        <tr r="AD24" s="1"/>
        <tr r="AD9" s="1"/>
        <tr r="AD9" s="1"/>
        <tr r="Y8" s="1"/>
        <tr r="Y8" s="1"/>
        <tr r="Y12" s="1"/>
        <tr r="Y12" s="1"/>
        <tr r="Q10" s="1"/>
        <tr r="Q10" s="1"/>
        <tr r="W10" s="1"/>
        <tr r="W10" s="1"/>
        <tr r="W25" s="1"/>
        <tr r="W25" s="1"/>
        <tr r="S29" s="1"/>
        <tr r="S29" s="1"/>
        <tr r="S21" s="1"/>
        <tr r="S21" s="1"/>
        <tr r="Q27" s="1"/>
        <tr r="Q27" s="1"/>
        <tr r="R6" s="1"/>
        <tr r="R6" s="1"/>
        <tr r="O9" s="1"/>
        <tr r="O9" s="1"/>
        <tr r="Y21" s="1"/>
        <tr r="Y21" s="1"/>
        <tr r="Q11" s="1"/>
        <tr r="Q11" s="1"/>
        <tr r="Q25" s="1"/>
        <tr r="Q25" s="1"/>
        <tr r="R15" s="1"/>
        <tr r="R15" s="1"/>
        <tr r="R16" s="1"/>
        <tr r="R16" s="1"/>
        <tr r="R25" s="1"/>
        <tr r="R25" s="1"/>
        <tr r="AD6" s="1"/>
        <tr r="AD6" s="1"/>
        <tr r="AD7" s="1"/>
        <tr r="AD7" s="1"/>
        <tr r="R27" s="1"/>
        <tr r="R27" s="1"/>
        <tr r="R17" s="1"/>
        <tr r="R17" s="1"/>
        <tr r="S13" s="1"/>
        <tr r="S13" s="1"/>
        <tr r="S17" s="1"/>
        <tr r="S17" s="1"/>
        <tr r="Z21" s="1"/>
        <tr r="Z21" s="1"/>
        <tr r="N21" s="1"/>
        <tr r="N21" s="1"/>
        <tr r="X18" s="1"/>
        <tr r="X18" s="1"/>
        <tr r="AC6" s="1"/>
        <tr r="AC6" s="1"/>
        <tr r="AJ22" s="1"/>
        <tr r="AJ22" s="1"/>
        <tr r="V29" s="1"/>
        <tr r="V29" s="1"/>
        <tr r="V9" s="1"/>
        <tr r="V9" s="1"/>
        <tr r="V11" s="1"/>
        <tr r="V11" s="1"/>
        <tr r="N25" s="1"/>
        <tr r="N25" s="1"/>
        <tr r="N14" s="1"/>
        <tr r="N14" s="1"/>
        <tr r="O16" s="1"/>
        <tr r="O16" s="1"/>
        <tr r="O8" s="1"/>
        <tr r="O8" s="1"/>
        <tr r="O11" s="1"/>
        <tr r="O11" s="1"/>
        <tr r="N10" s="1"/>
        <tr r="N10" s="1"/>
        <tr r="N24" s="1"/>
        <tr r="N24" s="1"/>
        <tr r="Z13" s="1"/>
        <tr r="Z13" s="1"/>
        <tr r="Z27" s="1"/>
        <tr r="Z27" s="1"/>
        <tr r="Z11" s="1"/>
        <tr r="Z11" s="1"/>
        <tr r="AC26" s="1"/>
        <tr r="AC26" s="1"/>
        <tr r="AC17" s="1"/>
        <tr r="AC17" s="1"/>
        <tr r="X13" s="1"/>
        <tr r="X13" s="1"/>
        <tr r="AJ18" s="1"/>
        <tr r="AJ18" s="1"/>
        <tr r="AJ10" s="1"/>
        <tr r="AJ10" s="1"/>
        <tr r="F23" s="1"/>
        <tr r="F23" s="1"/>
        <tr r="K11" s="1"/>
        <tr r="K11" s="1"/>
        <tr r="K28" s="1"/>
        <tr r="K28" s="1"/>
        <tr r="K21" s="1"/>
        <tr r="K21" s="1"/>
        <tr r="K26" s="1"/>
        <tr r="K26" s="1"/>
        <tr r="K8" s="1"/>
        <tr r="K8" s="1"/>
        <tr r="X26" s="1"/>
        <tr r="X26" s="1"/>
        <tr r="X23" s="1"/>
        <tr r="X23" s="1"/>
        <tr r="X8" s="1"/>
        <tr r="X8" s="1"/>
        <tr r="AJ12" s="1"/>
        <tr r="AJ12" s="1"/>
        <tr r="AJ11" s="1"/>
        <tr r="AJ11" s="1"/>
        <tr r="I21" s="1"/>
        <tr r="I21" s="1"/>
        <tr r="I20" s="1"/>
        <tr r="I20" s="1"/>
        <tr r="I8" s="1"/>
        <tr r="I8" s="1"/>
        <tr r="AB12" s="1"/>
        <tr r="AB12" s="1"/>
        <tr r="AB20" s="1"/>
        <tr r="AB20" s="1"/>
        <tr r="I7" s="1"/>
        <tr r="I7" s="1"/>
        <tr r="I28" s="1"/>
        <tr r="I28" s="1"/>
        <tr r="U23" s="1"/>
        <tr r="U23" s="1"/>
        <tr r="AH29" s="1"/>
        <tr r="AH29" s="1"/>
        <tr r="AH18" s="1"/>
        <tr r="AH18" s="1"/>
        <tr r="AE10" s="1"/>
        <tr r="AE10" s="1"/>
        <tr r="AE24" s="1"/>
        <tr r="AE24" s="1"/>
        <tr r="AK11" s="1"/>
        <tr r="AK11" s="1"/>
        <tr r="AK23" s="1"/>
        <tr r="AK23" s="1"/>
        <tr r="AK29" s="1"/>
        <tr r="AK29" s="1"/>
        <tr r="AK28" s="1"/>
        <tr r="AK28" s="1"/>
        <tr r="AK26" s="1"/>
        <tr r="AK26" s="1"/>
        <tr r="AK18" s="1"/>
        <tr r="AK18" s="1"/>
        <tr r="AM12" s="1"/>
        <tr r="AM12" s="1"/>
        <tr r="AM8" s="1"/>
        <tr r="AM8" s="1"/>
        <tr r="U11" s="1"/>
        <tr r="U11" s="1"/>
        <tr r="U8" s="1"/>
        <tr r="U8" s="1"/>
        <tr r="AM14" s="1"/>
        <tr r="AM14" s="1"/>
        <tr r="AM7" s="1"/>
        <tr r="AM7" s="1"/>
        <tr r="U20" s="1"/>
        <tr r="U20" s="1"/>
        <tr r="U9" s="1"/>
        <tr r="U9" s="1"/>
        <tr r="U17" s="1"/>
        <tr r="U17" s="1"/>
        <tr r="W24" s="1"/>
        <tr r="W24" s="1"/>
        <tr r="W20" s="1"/>
        <tr r="W20" s="1"/>
        <tr r="AH21" s="1"/>
        <tr r="AH21" s="1"/>
        <tr r="AH27" s="1"/>
        <tr r="AH27" s="1"/>
        <tr r="Y10" s="1"/>
        <tr r="Y10" s="1"/>
        <tr r="AD25" s="1"/>
        <tr r="AD25" s="1"/>
        <tr r="AD23" s="1"/>
        <tr r="AD23" s="1"/>
        <tr r="Y18" s="1"/>
        <tr r="Y18" s="1"/>
        <tr r="Y26" s="1"/>
        <tr r="Y26" s="1"/>
        <tr r="S25" s="1"/>
        <tr r="S25" s="1"/>
        <tr r="W9" s="1"/>
        <tr r="W9" s="1"/>
        <tr r="S16" s="1"/>
        <tr r="S16" s="1"/>
        <tr r="S27" s="1"/>
        <tr r="S27" s="1"/>
        <tr r="S19" s="1"/>
        <tr r="S19" s="1"/>
        <tr r="Q15" s="1"/>
        <tr r="Q15" s="1"/>
        <tr r="Q8" s="1"/>
        <tr r="Q8" s="1"/>
        <tr r="Q22" s="1"/>
        <tr r="Q22" s="1"/>
        <tr r="O12" s="1"/>
        <tr r="O12" s="1"/>
        <tr r="Y20" s="1"/>
        <tr r="Y20" s="1"/>
        <tr r="Y15" s="1"/>
        <tr r="Y15" s="1"/>
        <tr r="Q20" s="1"/>
        <tr r="Q20" s="1"/>
        <tr r="Q13" s="1"/>
        <tr r="Q13" s="1"/>
        <tr r="R19" s="1"/>
        <tr r="R19" s="1"/>
        <tr r="R21" s="1"/>
        <tr r="R21" s="1"/>
        <tr r="AD11" s="1"/>
        <tr r="AD11" s="1"/>
        <tr r="AD28" s="1"/>
        <tr r="AD28" s="1"/>
        <tr r="V6" s="1"/>
        <tr r="V6" s="1"/>
        <tr r="R7" s="1"/>
        <tr r="R7" s="1"/>
        <tr r="S9" s="1"/>
        <tr r="S9" s="1"/>
        <tr r="V19" s="1"/>
        <tr r="V19" s="1"/>
        <tr r="V10" s="1"/>
        <tr r="V10" s="1"/>
        <tr r="N28" s="1"/>
        <tr r="N28" s="1"/>
        <tr r="N19" s="1"/>
        <tr r="N19" s="1"/>
        <tr r="N16" s="1"/>
        <tr r="N16" s="1"/>
        <tr r="O14" s="1"/>
        <tr r="O14" s="1"/>
        <tr r="O28" s="1"/>
        <tr r="O28" s="1"/>
        <tr r="O20" s="1"/>
        <tr r="O20" s="1"/>
        <tr r="O7" s="1"/>
        <tr r="O7" s="1"/>
        <tr r="N15" s="1"/>
        <tr r="N15" s="1"/>
        <tr r="N7" s="1"/>
        <tr r="N7" s="1"/>
        <tr r="Z25" s="1"/>
        <tr r="Z25" s="1"/>
        <tr r="Z8" s="1"/>
        <tr r="Z8" s="1"/>
        <tr r="AC11" s="1"/>
        <tr r="AC11" s="1"/>
        <tr r="AC7" s="1"/>
        <tr r="AC7" s="1"/>
        <tr r="AC28" s="1"/>
        <tr r="AC28" s="1"/>
        <tr r="AC27" s="1"/>
        <tr r="AC27" s="1"/>
        <tr r="AC24" s="1"/>
        <tr r="AC24" s="1"/>
        <tr r="AC18" s="1"/>
        <tr r="AC18" s="1"/>
        <tr r="K27" s="1"/>
        <tr r="K27" s="1"/>
        <tr r="X6" s="1"/>
        <tr r="X6" s="1"/>
        <tr r="X19" s="1"/>
        <tr r="X19" s="1"/>
        <tr r="X17" s="1"/>
        <tr r="X17" s="1"/>
        <tr r="AJ20" s="1"/>
        <tr r="AJ20" s="1"/>
        <tr r="K19" s="1"/>
        <tr r="K19" s="1"/>
        <tr r="K22" s="1"/>
        <tr r="K22" s="1"/>
        <tr r="K23" s="1"/>
        <tr r="K23" s="1"/>
        <tr r="X16" s="1"/>
        <tr r="X16" s="1"/>
        <tr r="AJ26" s="1"/>
        <tr r="AJ26" s="1"/>
        <tr r="I6" s="1"/>
        <tr r="I6" s="1"/>
        <tr r="I25" s="1"/>
        <tr r="I25" s="1"/>
        <tr r="I15" s="1"/>
        <tr r="I15" s="1"/>
        <tr r="AB10" s="1"/>
        <tr r="AB10" s="1"/>
        <tr r="AB11" s="1"/>
        <tr r="AB11" s="1"/>
        <tr r="AB22" s="1"/>
        <tr r="AB22" s="1"/>
        <tr r="I17" s="1"/>
        <tr r="I17" s="1"/>
        <tr r="I24" s="1"/>
        <tr r="I24" s="1"/>
        <tr r="U14" s="1"/>
        <tr r="U14" s="1"/>
        <tr r="AH14" s="1"/>
        <tr r="AH14" s="1"/>
        <tr r="AH17" s="1"/>
        <tr r="AH17" s="1"/>
        <tr r="AE16" s="1"/>
        <tr r="AE16" s="1"/>
        <tr r="AE29" s="1"/>
        <tr r="AE29" s="1"/>
        <tr r="AE26" s="1"/>
        <tr r="AE26" s="1"/>
        <tr r="AK8" s="1"/>
        <tr r="AK8" s="1"/>
        <tr r="AK20" s="1"/>
        <tr r="AK20" s="1"/>
        <tr r="AK12" s="1"/>
        <tr r="AK12" s="1"/>
        <tr r="AK15" s="1"/>
        <tr r="AK15" s="1"/>
        <tr r="AK17" s="1"/>
        <tr r="AK17" s="1"/>
        <tr r="AM18" s="1"/>
        <tr r="AM18" s="1"/>
        <tr r="AM25" s="1"/>
        <tr r="AM25" s="1"/>
        <tr r="AM10" s="1"/>
        <tr r="AM10" s="1"/>
        <tr r="U15" s="1"/>
        <tr r="U15" s="1"/>
        <tr r="U7" s="1"/>
        <tr r="U7" s="1"/>
        <tr r="AM27" s="1"/>
        <tr r="AM27" s="1"/>
        <tr r="U12" s="1"/>
        <tr r="U12" s="1"/>
        <tr r="W18" s="1"/>
        <tr r="W18" s="1"/>
        <tr r="W29" s="1"/>
        <tr r="W29" s="1"/>
        <tr r="AH28" s="1"/>
        <tr r="AH28" s="1"/>
        <tr r="AH11" s="1"/>
        <tr r="AH11" s="1"/>
        <tr r="AD14" s="1"/>
        <tr r="AD14" s="1"/>
        <tr r="Y19" s="1"/>
        <tr r="Y19" s="1"/>
        <tr r="AD15" s="1"/>
        <tr r="AD15" s="1"/>
        <tr r="AD22" s="1"/>
        <tr r="AD22" s="1"/>
        <tr r="Y14" s="1"/>
        <tr r="Y14" s="1"/>
        <tr r="Y23" s="1"/>
        <tr r="Y23" s="1"/>
        <tr r="Y28" s="1"/>
        <tr r="Y28" s="1"/>
        <tr r="S10" s="1"/>
        <tr r="S10" s="1"/>
        <tr r="W19" s="1"/>
        <tr r="W19" s="1"/>
        <tr r="W21" s="1"/>
        <tr r="W21" s="1"/>
        <tr r="W28" s="1"/>
        <tr r="W28" s="1"/>
        <tr r="S23" s="1"/>
        <tr r="S23" s="1"/>
        <tr r="S18" s="1"/>
        <tr r="S18" s="1"/>
        <tr r="S15" s="1"/>
        <tr r="S15" s="1"/>
        <tr r="Q6" s="1"/>
        <tr r="Q6" s="1"/>
        <tr r="Q17" s="1"/>
        <tr r="Q17" s="1"/>
        <tr r="R20" s="1"/>
        <tr r="R20" s="1"/>
        <tr r="Y9" s="1"/>
        <tr r="Y9" s="1"/>
        <tr r="Y29" s="1"/>
        <tr r="Y29" s="1"/>
        <tr r="Q12" s="1"/>
        <tr r="Q12" s="1"/>
        <tr r="Q16" s="1"/>
        <tr r="Q16" s="1"/>
        <tr r="R14" s="1"/>
        <tr r="R14" s="1"/>
        <tr r="R26" s="1"/>
        <tr r="R26" s="1"/>
        <tr r="AD27" s="1"/>
        <tr r="AD27" s="1"/>
        <tr r="AD18" s="1"/>
        <tr r="AD18" s="1"/>
        <tr r="V25" s="1"/>
        <tr r="V25" s="1"/>
        <tr r="R22" s="1"/>
        <tr r="R22" s="1"/>
        <tr r="R28" s="1"/>
        <tr r="R28" s="1"/>
        <tr r="S26" s="1"/>
        <tr r="S26" s="1"/>
        <tr r="S8" s="1"/>
        <tr r="S8" s="1"/>
        <tr r="S7" s="1"/>
        <tr r="S7" s="1"/>
        <tr r="N27" s="1"/>
        <tr r="N27" s="1"/>
        <tr r="X22" s="1"/>
        <tr r="X22" s="1"/>
        <tr r="AJ17" s="1"/>
        <tr r="AJ17" s="1"/>
        <tr r="V12" s="1"/>
        <tr r="V12" s="1"/>
        <tr r="V26" s="1"/>
        <tr r="V26" s="1"/>
        <tr r="V14" s="1"/>
        <tr r="V14" s="1"/>
        <tr r="N26" s="1"/>
        <tr r="N26" s="1"/>
        <tr r="O23" s="1"/>
        <tr r="O23" s="1"/>
        <tr r="O6" s="1"/>
        <tr r="O6" s="1"/>
        <tr r="O27" s="1"/>
        <tr r="O27" s="1"/>
        <tr r="O19" s="1"/>
        <tr r="O19" s="1"/>
        <tr r="O21" s="1"/>
        <tr r="O21" s="1"/>
        <tr r="N12" s="1"/>
        <tr r="N12" s="1"/>
        <tr r="N8" s="1"/>
        <tr r="N8" s="1"/>
        <tr r="Z14" s="1"/>
        <tr r="Z14" s="1"/>
        <tr r="Z23" s="1"/>
        <tr r="Z23" s="1"/>
        <tr r="AC13" s="1"/>
        <tr r="AC13" s="1"/>
        <tr r="AC8" s="1"/>
        <tr r="AC8" s="1"/>
        <tr r="AC22" s="1"/>
        <tr r="AC22" s="1"/>
        <tr r="AC19" s="1"/>
        <tr r="AC19" s="1"/>
        <tr r="AC25" s="1"/>
        <tr r="AC25" s="1"/>
        <tr r="AC16" s="1"/>
        <tr r="AC16" s="1"/>
        <tr r="K10" s="1"/>
        <tr r="K10" s="1"/>
        <tr r="X7" s="1"/>
        <tr r="X7" s="1"/>
        <tr r="X15" s="1"/>
        <tr r="X15" s="1"/>
        <tr r="X29" s="1"/>
        <tr r="X29" s="1"/>
        <tr r="X14" s="1"/>
        <tr r="X14" s="1"/>
        <tr r="AJ7" s="1"/>
        <tr r="AJ7" s="1"/>
        <tr r="AJ15" s="1"/>
        <tr r="AJ15" s="1"/>
        <tr r="F6" s="1"/>
        <tr r="F6" s="1"/>
        <tr r="K25" s="1"/>
        <tr r="K25" s="1"/>
        <tr r="K15" s="1"/>
        <tr r="K15" s="1"/>
        <tr r="X12" s="1"/>
        <tr r="X12" s="1"/>
        <tr r="K9" s="1"/>
        <tr r="K9" s="1"/>
        <tr r="K20" s="1"/>
        <tr r="K20" s="1"/>
        <tr r="K17" s="1"/>
        <tr r="K17" s="1"/>
        <tr r="X27" s="1"/>
        <tr r="X27" s="1"/>
        <tr r="AJ19" s="1"/>
        <tr r="AJ19" s="1"/>
        <tr r="AJ14" s="1"/>
        <tr r="AJ14" s="1"/>
        <tr r="AJ16" s="1"/>
        <tr r="AJ16" s="1"/>
        <tr r="I11" s="1"/>
        <tr r="I11" s="1"/>
        <tr r="I13" s="1"/>
        <tr r="I13" s="1"/>
        <tr r="I27" s="1"/>
        <tr r="I27" s="1"/>
        <tr r="AH8" s="1"/>
        <tr r="AH8" s="1"/>
        <tr r="AK27" s="1"/>
        <tr r="AK27" s="1"/>
        <tr r="AM11" s="1"/>
        <tr r="AM11" s="1"/>
        <tr r="AM22" s="1"/>
        <tr r="AM22" s="1"/>
        <tr r="U18" s="1"/>
        <tr r="U18" s="1"/>
        <tr r="U29" s="1"/>
        <tr r="U29" s="1"/>
        <tr r="W6" s="1"/>
        <tr r="W6" s="1"/>
        <tr r="W16" s="1"/>
        <tr r="W16" s="1"/>
        <tr r="AH22" s="1"/>
        <tr r="AH22" s="1"/>
        <tr r="AD13" s="1"/>
        <tr r="AD13" s="1"/>
        <tr r="Y6" s="1"/>
        <tr r="Y6" s="1"/>
        <tr r="AD12" s="1"/>
        <tr r="AD12" s="1"/>
        <tr r="AD17" s="1"/>
        <tr r="AD17" s="1"/>
        <tr r="Y22" s="1"/>
        <tr r="Y22" s="1"/>
        <tr r="Q18" s="1"/>
        <tr r="Q18" s="1"/>
        <tr r="S24" s="1"/>
        <tr r="S24" s="1"/>
        <tr r="W27" s="1"/>
        <tr r="W27" s="1"/>
        <tr r="W23" s="1"/>
        <tr r="W23" s="1"/>
        <tr r="S22" s="1"/>
        <tr r="S22" s="1"/>
        <tr r="Q24" s="1"/>
        <tr r="Q24" s="1"/>
        <tr r="Q7" s="1"/>
        <tr r="Q7" s="1"/>
        <tr r="O24" s="1"/>
        <tr r="O24" s="1"/>
        <tr r="Y11" s="1"/>
        <tr r="Y11" s="1"/>
        <tr r="Y24" s="1"/>
        <tr r="Y24" s="1"/>
        <tr r="Q26" s="1"/>
        <tr r="Q26" s="1"/>
        <tr r="Q14" s="1"/>
        <tr r="Q14" s="1"/>
        <tr r="R23" s="1"/>
        <tr r="R23" s="1"/>
        <tr r="R18" s="1"/>
        <tr r="R18" s="1"/>
        <tr r="AD10" s="1"/>
        <tr r="AD10" s="1"/>
        <tr r="AD16" s="1"/>
        <tr r="AD16" s="1"/>
        <tr r="V22" s="1"/>
        <tr r="V22" s="1"/>
        <tr r="R12" s="1"/>
        <tr r="R12" s="1"/>
        <tr r="R24" s="1"/>
        <tr r="R24" s="1"/>
        <tr r="S12" s="1"/>
        <tr r="S12" s="1"/>
        <tr r="S14" s="1"/>
        <tr r="S14" s="1"/>
        <tr r="Z18" s="1"/>
        <tr r="Z18" s="1"/>
        <tr r="N20" s="1"/>
        <tr r="N20" s="1"/>
        <tr r="AC23" s="1"/>
        <tr r="AC23" s="1"/>
        <tr r="V13" s="1"/>
        <tr r="V13" s="1"/>
        <tr r="N29" s="1"/>
        <tr r="N29" s="1"/>
        <tr r="N11" s="1"/>
        <tr r="N11" s="1"/>
        <tr r="N13" s="1"/>
        <tr r="N13" s="1"/>
        <tr r="O29" s="1"/>
        <tr r="O29" s="1"/>
        <tr r="O25" s="1"/>
        <tr r="O25" s="1"/>
        <tr r="O18" s="1"/>
        <tr r="O18" s="1"/>
        <tr r="O26" s="1"/>
        <tr r="O26" s="1"/>
        <tr r="O17" s="1"/>
        <tr r="O17" s="1"/>
        <tr r="N23" s="1"/>
        <tr r="N23" s="1"/>
        <tr r="Z24" s="1"/>
        <tr r="Z24" s="1"/>
        <tr r="Z20" s="1"/>
        <tr r="Z20" s="1"/>
        <tr r="AC29" s="1"/>
        <tr r="AC29" s="1"/>
        <tr r="AC9" s="1"/>
        <tr r="AC9" s="1"/>
        <tr r="AJ24" s="1"/>
        <tr r="AJ24" s="1"/>
        <tr r="AJ29" s="1"/>
        <tr r="AJ29" s="1"/>
        <tr r="AJ6" s="1"/>
        <tr r="AJ6" s="1"/>
        <tr r="F17" s="1"/>
        <tr r="F17" s="1"/>
        <tr r="K13" s="1"/>
        <tr r="K13" s="1"/>
        <tr r="K18" s="1"/>
        <tr r="K18" s="1"/>
        <tr r="K16" s="1"/>
        <tr r="K16" s="1"/>
        <tr r="K24" s="1"/>
        <tr r="K24" s="1"/>
        <tr r="K7" s="1"/>
        <tr r="K7" s="1"/>
        <tr r="X9" s="1"/>
        <tr r="X9" s="1"/>
        <tr r="X11" s="1"/>
        <tr r="X11" s="1"/>
        <tr r="X21" s="1"/>
        <tr r="X21" s="1"/>
        <tr r="AJ13" s="1"/>
        <tr r="AJ13" s="1"/>
        <tr r="AJ21" s="1"/>
        <tr r="AJ21" s="1"/>
        <tr r="AJ8" s="1"/>
        <tr r="AJ8" s="1"/>
        <tr r="AJ27" s="1"/>
        <tr r="AJ27" s="1"/>
        <tr r="AJ23" s="1"/>
        <tr r="AJ23" s="1"/>
        <tr r="AH23" s="1"/>
        <tr r="AH23" s="1"/>
        <tr r="AH6" s="1"/>
        <tr r="AH6" s="1"/>
        <tr r="P19" s="1"/>
        <tr r="P19" s="1"/>
        <tr r="P23" s="1"/>
        <tr r="P23" s="1"/>
        <tr r="T24" s="1"/>
        <tr r="T24" s="1"/>
        <tr r="T15" s="1"/>
        <tr r="T15" s="1"/>
        <tr r="AB14" s="1"/>
        <tr r="AB14" s="1"/>
        <tr r="P10" s="1"/>
        <tr r="P10" s="1"/>
        <tr r="P17" s="1"/>
        <tr r="P17" s="1"/>
        <tr r="AH26" s="1"/>
        <tr r="AH26" s="1"/>
        <tr r="P8" s="1"/>
        <tr r="P8" s="1"/>
        <tr r="P6" s="1"/>
        <tr r="P6" s="1"/>
        <tr r="P22" s="1"/>
        <tr r="P22" s="1"/>
        <tr r="T28" s="1"/>
        <tr r="T28" s="1"/>
        <tr r="T16" s="1"/>
        <tr r="T16" s="1"/>
        <tr r="I16" s="1"/>
        <tr r="I16" s="1"/>
        <tr r="AB29" s="1"/>
        <tr r="AB29" s="1"/>
        <tr r="AB19" s="1"/>
        <tr r="AB19" s="1"/>
        <tr r="P9" s="1"/>
        <tr r="P9" s="1"/>
        <tr r="P24" s="1"/>
        <tr r="P24" s="1"/>
        <tr r="P16" s="1"/>
        <tr r="P16" s="1"/>
        <tr r="P25" s="1"/>
        <tr r="P25" s="1"/>
        <tr r="T23" s="1"/>
        <tr r="T23" s="1"/>
        <tr r="T27" s="1"/>
        <tr r="T27" s="1"/>
        <tr r="AB27" s="1"/>
        <tr r="AB27" s="1"/>
        <tr r="AB9" s="1"/>
        <tr r="AB9" s="1"/>
        <tr r="P12" s="1"/>
        <tr r="P12" s="1"/>
        <tr r="P29" s="1"/>
        <tr r="P29" s="1"/>
        <tr r="P14" s="1"/>
        <tr r="P14" s="1"/>
        <tr r="T20" s="1"/>
        <tr r="T20" s="1"/>
        <tr r="T7" s="1"/>
        <tr r="T7" s="1"/>
        <tr r="I26" s="1"/>
        <tr r="I26" s="1"/>
        <tr r="AB13" s="1"/>
        <tr r="AB13" s="1"/>
        <tr r="AB23" s="1"/>
        <tr r="AB23" s="1"/>
        <tr r="AB6" s="1"/>
        <tr r="AB6" s="1"/>
        <tr r="P26" s="1"/>
        <tr r="P26" s="1"/>
        <tr r="P27" s="1"/>
        <tr r="P27" s="1"/>
        <tr r="P18" s="1"/>
        <tr r="P18" s="1"/>
        <tr r="P13" s="1"/>
        <tr r="P13" s="1"/>
        <tr r="T21" s="1"/>
        <tr r="T21" s="1"/>
        <tr r="T17" s="1"/>
        <tr r="T17" s="1"/>
        <tr r="I29" s="1"/>
        <tr r="I29" s="1"/>
        <tr r="AB28" s="1"/>
        <tr r="AB28" s="1"/>
        <tr r="AB7" s="1"/>
        <tr r="AB7" s="1"/>
        <tr r="AB15" s="1"/>
        <tr r="AB15" s="1"/>
        <tr r="P11" s="1"/>
        <tr r="P11" s="1"/>
        <tr r="P20" s="1"/>
        <tr r="P20" s="1"/>
        <tr r="P7" s="1"/>
        <tr r="P7" s="1"/>
        <tr r="AE27" s="1"/>
        <tr r="AE27" s="1"/>
        <tr r="AE18" s="1"/>
        <tr r="AE18" s="1"/>
        <tr r="AE17" s="1"/>
        <tr r="AE17" s="1"/>
        <tr r="AE23" s="1"/>
        <tr r="AE23" s="1"/>
        <tr r="AE6" s="1"/>
        <tr r="AE6" s="1"/>
        <tr r="W15" s="1"/>
        <tr r="W15" s="1"/>
        <tr r="AE14" s="1"/>
        <tr r="AE14" s="1"/>
        <tr r="W13" s="1"/>
        <tr r="W13" s="1"/>
        <tr r="AK25" s="1"/>
        <tr r="AK25" s="1"/>
        <tr r="AM9" s="1"/>
        <tr r="AM9" s="1"/>
        <tr r="AK21" s="1"/>
        <tr r="AK21" s="1"/>
        <tr r="AM20" s="1"/>
        <tr r="AM20" s="1"/>
        <tr r="AK9" s="1"/>
        <tr r="AK9" s="1"/>
        <tr r="AE11" s="1"/>
        <tr r="AE11" s="1"/>
        <tr r="AM28" s="1"/>
        <tr r="AM28" s="1"/>
        <tr r="AE13" s="1"/>
        <tr r="AE13" s="1"/>
        <tr r="AE12" s="1"/>
        <tr r="AE12" s="1"/>
        <tr r="W14" s="1"/>
        <tr r="W14" s="1"/>
        <tr r="AE7" s="1"/>
        <tr r="AE7" s="1"/>
        <tr r="AE9" s="1"/>
        <tr r="AE9" s="1"/>
        <tr r="W17" s="1"/>
        <tr r="W17" s="1"/>
        <tr r="T9" s="1"/>
        <tr r="T9" s="1"/>
        <tr r="T14" s="1"/>
        <tr r="T14" s="1"/>
        <tr r="T29" s="1"/>
        <tr r="T29" s="1"/>
        <tr r="AE8" s="1"/>
        <tr r="AE8" s="1"/>
        <tr r="AB25" s="1"/>
        <tr r="AB25" s="1"/>
        <tr r="AB17" s="1"/>
        <tr r="AB17" s="1"/>
        <tr r="T6" s="1"/>
        <tr r="T6" s="1"/>
        <tr r="T10" s="1"/>
        <tr r="T10" s="1"/>
        <tr r="T11" s="1"/>
        <tr r="T11" s="1"/>
        <tr r="AE21" s="1"/>
        <tr r="AE21" s="1"/>
        <tr r="T8" s="1"/>
        <tr r="T8" s="1"/>
        <tr r="AB16" s="1"/>
        <tr r="AB16" s="1"/>
        <tr r="T18" s="1"/>
        <tr r="T18" s="1"/>
        <tr r="T13" s="1"/>
        <tr r="T13" s="1"/>
        <tr r="AE20" s="1"/>
        <tr r="AE20" s="1"/>
        <tr r="T19" s="1"/>
        <tr r="T19" s="1"/>
        <tr r="T12" s="1"/>
        <tr r="T12" s="1"/>
        <tr r="T26" s="1"/>
        <tr r="T26" s="1"/>
        <tr r="T22" s="1"/>
        <tr r="T22" s="1"/>
        <tr r="T25" s="1"/>
        <tr r="T25" s="1"/>
        <tr r="AF10" s="1"/>
        <tr r="AF10" s="1"/>
        <tr r="D15" s="1"/>
        <tr r="D15" s="1"/>
        <tr r="L27" s="1"/>
        <tr r="L27" s="1"/>
        <tr r="L18" s="1"/>
        <tr r="L18" s="1"/>
        <tr r="J29" s="1"/>
        <tr r="J29" s="1"/>
        <tr r="H19" s="1"/>
        <tr r="H19" s="1"/>
        <tr r="H29" s="1"/>
        <tr r="H29" s="1"/>
        <tr r="E11" s="1"/>
        <tr r="E11" s="1"/>
        <tr r="J11" s="1"/>
        <tr r="J11" s="1"/>
        <tr r="AF15" s="1"/>
        <tr r="AF15" s="1"/>
        <tr r="AF23" s="1"/>
        <tr r="AF23" s="1"/>
        <tr r="AF14" s="1"/>
        <tr r="AF14" s="1"/>
        <tr r="D26" s="1"/>
        <tr r="D26" s="1"/>
        <tr r="L22" s="1"/>
        <tr r="L22" s="1"/>
        <tr r="D21" s="1"/>
        <tr r="D21" s="1"/>
        <tr r="J14" s="1"/>
        <tr r="J14" s="1"/>
        <tr r="J18" s="1"/>
        <tr r="J18" s="1"/>
        <tr r="H11" s="1"/>
        <tr r="H11" s="1"/>
        <tr r="L19" s="1"/>
        <tr r="L19" s="1"/>
        <tr r="E23" s="1"/>
        <tr r="E23" s="1"/>
        <tr r="AF12" s="1"/>
        <tr r="AF12" s="1"/>
        <tr r="D29" s="1"/>
        <tr r="D29" s="1"/>
        <tr r="L20" s="1"/>
        <tr r="L20" s="1"/>
        <tr r="D28" s="1"/>
        <tr r="D28" s="1"/>
        <tr r="H22" s="1"/>
        <tr r="H22" s="1"/>
        <tr r="L23" s="1"/>
        <tr r="L23" s="1"/>
        <tr r="E27" s="1"/>
        <tr r="E27" s="1"/>
        <tr r="D12" s="1"/>
        <tr r="D12" s="1"/>
        <tr r="L10" s="1"/>
        <tr r="L10" s="1"/>
        <tr r="D8" s="1"/>
        <tr r="D8" s="1"/>
        <tr r="J26" s="1"/>
        <tr r="J26" s="1"/>
        <tr r="H16" s="1"/>
        <tr r="H16" s="1"/>
        <tr r="E9" s="1"/>
        <tr r="E9" s="1"/>
        <tr r="J27" s="1"/>
        <tr r="J27" s="1"/>
        <tr r="AF9" s="1"/>
        <tr r="AF9" s="1"/>
        <tr r="D19" s="1"/>
        <tr r="D19" s="1"/>
        <tr r="D16" s="1"/>
        <tr r="D16" s="1"/>
        <tr r="J6" s="1"/>
        <tr r="J6" s="1"/>
        <tr r="J19" s="1"/>
        <tr r="J19" s="1"/>
        <tr r="L28" s="1"/>
        <tr r="L28" s="1"/>
        <tr r="J9" s="1"/>
        <tr r="J9" s="1"/>
        <tr r="AF19" s="1"/>
        <tr r="AF19" s="1"/>
        <tr r="AF7" s="1"/>
        <tr r="AF7" s="1"/>
        <tr r="L8" s="1"/>
        <tr r="L8" s="1"/>
        <tr r="L25" s="1"/>
        <tr r="L25" s="1"/>
        <tr r="J23" s="1"/>
        <tr r="J23" s="1"/>
        <tr r="H27" s="1"/>
        <tr r="H27" s="1"/>
        <tr r="E29" s="1"/>
        <tr r="E29" s="1"/>
        <tr r="E7" s="1"/>
        <tr r="E7" s="1"/>
        <tr r="E12" s="1"/>
        <tr r="E12" s="1"/>
        <tr r="P28" s="1"/>
        <tr r="P28" s="1"/>
        <tr r="J12" s="1"/>
        <tr r="J12" s="1"/>
        <tr r="AF13" s="1"/>
        <tr r="AF13" s="1"/>
        <tr r="D18" s="1"/>
        <tr r="D18" s="1"/>
        <tr r="J13" s="1"/>
        <tr r="J13" s="1"/>
        <tr r="J7" s="1"/>
        <tr r="J7" s="1"/>
        <tr r="H10" s="1"/>
        <tr r="H10" s="1"/>
        <tr r="H28" s="1"/>
        <tr r="H28" s="1"/>
        <tr r="P21" s="1"/>
        <tr r="P21" s="1"/>
        <tr r="AF26" s="1"/>
        <tr r="AF26" s="1"/>
        <tr r="AF16" s="1"/>
        <tr r="AF16" s="1"/>
        <tr r="L12" s="1"/>
        <tr r="L12" s="1"/>
        <tr r="L15" s="1"/>
        <tr r="L15" s="1"/>
        <tr r="L11" s="1"/>
        <tr r="L11" s="1"/>
        <tr r="J17" s="1"/>
        <tr r="J17" s="1"/>
        <tr r="J22" s="1"/>
        <tr r="J22" s="1"/>
        <tr r="H24" s="1"/>
        <tr r="H24" s="1"/>
        <tr r="H17" s="1"/>
        <tr r="H17" s="1"/>
        <tr r="E19" s="1"/>
        <tr r="E19" s="1"/>
        <tr r="E28" s="1"/>
        <tr r="E28" s="1"/>
        <tr r="E17" s="1"/>
        <tr r="E17" s="1"/>
        <tr r="P15" s="1"/>
        <tr r="P15" s="1"/>
        <tr r="J16" s="1"/>
        <tr r="J16" s="1"/>
        <tr r="J10" s="1"/>
        <tr r="J10" s="1"/>
        <tr r="J8" s="1"/>
        <tr r="J8" s="1"/>
        <tr r="J25" s="1"/>
        <tr r="J25" s="1"/>
        <tr r="J24" s="1"/>
        <tr r="J24" s="1"/>
        <tr r="J21" s="1"/>
        <tr r="J21" s="1"/>
        <tr r="M11" s="1"/>
        <tr r="M11" s="1"/>
        <tr r="M27" s="1"/>
        <tr r="M27" s="1"/>
        <tr r="AA10" s="1"/>
        <tr r="AA10" s="1"/>
        <tr r="G8" s="1"/>
        <tr r="G8" s="1"/>
        <tr r="L24" s="1"/>
        <tr r="L24" s="1"/>
        <tr r="AI7" s="1"/>
        <tr r="AI7" s="1"/>
        <tr r="M25" s="1"/>
        <tr r="M25" s="1"/>
        <tr r="M24" s="1"/>
        <tr r="M24" s="1"/>
        <tr r="AA17" s="1"/>
        <tr r="AA17" s="1"/>
        <tr r="AA9" s="1"/>
        <tr r="AA9" s="1"/>
        <tr r="G13" s="1"/>
        <tr r="G13" s="1"/>
        <tr r="G17" s="1"/>
        <tr r="G17" s="1"/>
        <tr r="G23" s="1"/>
        <tr r="G23" s="1"/>
        <tr r="L26" s="1"/>
        <tr r="L26" s="1"/>
        <tr r="L9" s="1"/>
        <tr r="L9" s="1"/>
        <tr r="M26" s="1"/>
        <tr r="M26" s="1"/>
        <tr r="M22" s="1"/>
        <tr r="M22" s="1"/>
        <tr r="AI17" s="1"/>
        <tr r="AI17" s="1"/>
        <tr r="AI14" s="1"/>
        <tr r="AI14" s="1"/>
        <tr r="AI27" s="1"/>
        <tr r="AI27" s="1"/>
        <tr r="AF18" s="1"/>
        <tr r="AF18" s="1"/>
        <tr r="AF24" s="1"/>
        <tr r="AF24" s="1"/>
        <tr r="AI15" s="1"/>
        <tr r="AI15" s="1"/>
        <tr r="AI28" s="1"/>
        <tr r="AI28" s="1"/>
        <tr r="AL18" s="1"/>
        <tr r="AL18" s="1"/>
        <tr r="D6" s="1"/>
        <tr r="D6" s="1"/>
        <tr r="M8" s="1"/>
        <tr r="M8" s="1"/>
        <tr r="AA12" s="1"/>
        <tr r="AA12" s="1"/>
        <tr r="G26" s="1"/>
        <tr r="G26" s="1"/>
        <tr r="G15" s="1"/>
        <tr r="G15" s="1"/>
        <tr r="G21" s="1"/>
        <tr r="G21" s="1"/>
        <tr r="L6" s="1"/>
        <tr r="L6" s="1"/>
        <tr r="L21" s="1"/>
        <tr r="L21" s="1"/>
        <tr r="M19" s="1"/>
        <tr r="M19" s="1"/>
        <tr r="M28" s="1"/>
        <tr r="M28" s="1"/>
        <tr r="AI26" s="1"/>
        <tr r="AI26" s="1"/>
        <tr r="AI13" s="1"/>
        <tr r="AI13" s="1"/>
        <tr r="AF27" s="1"/>
        <tr r="AF27" s="1"/>
        <tr r="AF21" s="1"/>
        <tr r="AF21" s="1"/>
        <tr r="AI23" s="1"/>
        <tr r="AI23" s="1"/>
        <tr r="AI12" s="1"/>
        <tr r="AI12" s="1"/>
        <tr r="AI10" s="1"/>
        <tr r="AI10" s="1"/>
        <tr r="AL19" s="1"/>
        <tr r="AL19" s="1"/>
        <tr r="AL10" s="1"/>
        <tr r="AL10" s="1"/>
        <tr r="M20" s="1"/>
        <tr r="M20" s="1"/>
        <tr r="M23" s="1"/>
        <tr r="M23" s="1"/>
        <tr r="AA23" s="1"/>
        <tr r="AA23" s="1"/>
        <tr r="AA25" s="1"/>
        <tr r="AA25" s="1"/>
        <tr r="G14" s="1"/>
        <tr r="G14" s="1"/>
        <tr r="G6" s="1"/>
        <tr r="G6" s="1"/>
        <tr r="L16" s="1"/>
        <tr r="L16" s="1"/>
        <tr r="L17" s="1"/>
        <tr r="L17" s="1"/>
        <tr r="L14" s="1"/>
        <tr r="L14" s="1"/>
        <tr r="M12" s="1"/>
        <tr r="M12" s="1"/>
        <tr r="M18" s="1"/>
        <tr r="M18" s="1"/>
        <tr r="AI18" s="1"/>
        <tr r="AI18" s="1"/>
        <tr r="AI8" s="1"/>
        <tr r="AI8" s="1"/>
        <tr r="AF22" s="1"/>
        <tr r="AF22" s="1"/>
        <tr r="AF29" s="1"/>
        <tr r="AF29" s="1"/>
        <tr r="AI16" s="1"/>
        <tr r="AI16" s="1"/>
        <tr r="AI20" s="1"/>
        <tr r="AI20" s="1"/>
        <tr r="AL7" s="1"/>
        <tr r="AL7" s="1"/>
        <tr r="D7" s="1"/>
        <tr r="D7" s="1"/>
        <tr r="M17" s="1"/>
        <tr r="M17" s="1"/>
        <tr r="M6" s="1"/>
        <tr r="M6" s="1"/>
        <tr r="AA16" s="1"/>
        <tr r="AA16" s="1"/>
        <tr r="AA27" s="1"/>
        <tr r="AA27" s="1"/>
        <tr r="G16" s="1"/>
        <tr r="G16" s="1"/>
        <tr r="L7" s="1"/>
        <tr r="L7" s="1"/>
        <tr r="M29" s="1"/>
        <tr r="M29" s="1"/>
        <tr r="M10" s="1"/>
        <tr r="M10" s="1"/>
        <tr r="AI22" s="1"/>
        <tr r="AI22" s="1"/>
        <tr r="AF25" s="1"/>
        <tr r="AF25" s="1"/>
        <tr r="AF17" s="1"/>
        <tr r="AF17" s="1"/>
        <tr r="AI25" s="1"/>
        <tr r="AI25" s="1"/>
        <tr r="AI19" s="1"/>
        <tr r="AI19" s="1"/>
        <tr r="AL22" s="1"/>
        <tr r="AL22" s="1"/>
        <tr r="D20" s="1"/>
        <tr r="D20" s="1"/>
        <tr r="M15" s="1"/>
        <tr r="M15" s="1"/>
        <tr r="AA18" s="1"/>
        <tr r="AA18" s="1"/>
        <tr r="AA7" s="1"/>
        <tr r="AA7" s="1"/>
        <tr r="G11" s="1"/>
        <tr r="G11" s="1"/>
        <tr r="L29" s="1"/>
        <tr r="L29" s="1"/>
        <tr r="L13" s="1"/>
        <tr r="L13" s="1"/>
        <tr r="M16" s="1"/>
        <tr r="M16" s="1"/>
        <tr r="M7" s="1"/>
        <tr r="M7" s="1"/>
        <tr r="AI24" s="1"/>
        <tr r="AI24" s="1"/>
        <tr r="AI21" s="1"/>
        <tr r="AI21" s="1"/>
        <tr r="AF20" s="1"/>
        <tr r="AF20" s="1"/>
        <tr r="AF28" s="1"/>
        <tr r="AF28" s="1"/>
        <tr r="AI29" s="1"/>
        <tr r="AI29" s="1"/>
        <tr r="AL21" s="1"/>
        <tr r="AL21" s="1"/>
        <tr r="AL8" s="1"/>
        <tr r="AL8" s="1"/>
        <tr r="AL23" s="1"/>
        <tr r="AL23" s="1"/>
        <tr r="AL25" s="1"/>
        <tr r="AL25" s="1"/>
        <tr r="AL15" s="1"/>
        <tr r="AL15" s="1"/>
        <tr r="D25" s="1"/>
        <tr r="D25" s="1"/>
        <tr r="D13" s="1"/>
        <tr r="D13" s="1"/>
        <tr r="D14" s="1"/>
        <tr r="D14" s="1"/>
        <tr r="D24" s="1"/>
        <tr r="D24" s="1"/>
        <tr r="D11" s="1"/>
        <tr r="D11" s="1"/>
        <tr r="D10" s="1"/>
        <tr r="D10" s="1"/>
        <tr r="D27" s="1"/>
        <tr r="D27" s="1"/>
        <tr r="D17" s="1"/>
        <tr r="D17" s="1"/>
        <tr r="M14" s="1"/>
        <tr r="M14" s="1"/>
        <tr r="AL20" s="1"/>
        <tr r="AL20" s="1"/>
        <tr r="E22" s="1"/>
        <tr r="E22" s="1"/>
        <tr r="H8" s="1"/>
        <tr r="H8" s="1"/>
        <tr r="H15" s="1"/>
        <tr r="H15" s="1"/>
        <tr r="M13" s="1"/>
        <tr r="M13" s="1"/>
        <tr r="AL24" s="1"/>
        <tr r="AL24" s="1"/>
        <tr r="E16" s="1"/>
        <tr r="E16" s="1"/>
        <tr r="H14" s="1"/>
        <tr r="H14" s="1"/>
        <tr r="H21" s="1"/>
        <tr r="H21" s="1"/>
        <tr r="E24" s="1"/>
        <tr r="E24" s="1"/>
        <tr r="H20" s="1"/>
        <tr r="H20" s="1"/>
        <tr r="H6" s="1"/>
        <tr r="H6" s="1"/>
        <tr r="E6" s="1"/>
        <tr r="E6" s="1"/>
        <tr r="E14" s="1"/>
        <tr r="E14" s="1"/>
        <tr r="H26" s="1"/>
        <tr r="H26" s="1"/>
        <tr r="H7" s="1"/>
        <tr r="H7" s="1"/>
        <tr r="AA29" s="1"/>
        <tr r="AA29" s="1"/>
        <tr r="AA14" s="1"/>
        <tr r="AA14" s="1"/>
        <tr r="AA20" s="1"/>
        <tr r="AA20" s="1"/>
        <tr r="AA26" s="1"/>
        <tr r="AA26" s="1"/>
        <tr r="AA22" s="1"/>
        <tr r="AA22" s="1"/>
        <tr r="AA19" s="1"/>
        <tr r="AA19" s="1"/>
        <tr r="G28" s="1"/>
        <tr r="G28" s="1"/>
        <tr r="G10" s="1"/>
        <tr r="G10" s="1"/>
        <tr r="AL11" s="1"/>
        <tr r="AL11" s="1"/>
        <tr r="G7" s="1"/>
        <tr r="G7" s="1"/>
        <tr r="AL29" s="1"/>
        <tr r="AL29" s="1"/>
        <tr r="AL26" s="1"/>
        <tr r="AL26" s="1"/>
        <tr r="AL6" s="1"/>
        <tr r="AL6" s="1"/>
        <tr r="G22" s="1"/>
        <tr r="G22" s="1"/>
        <tr r="AL12" s="1"/>
        <tr r="AL12" s="1"/>
        <tr r="G18" s="1"/>
        <tr r="G18" s="1"/>
        <tr r="M9" s="1"/>
        <tr r="M9" s="1"/>
        <tr r="M21" s="1"/>
        <tr r="M21" s="1"/>
        <tr r="AL16" s="1"/>
        <tr r="AL16" s="1"/>
        <tr r="H13" s="1"/>
        <tr r="H13" s="1"/>
        <tr r="E26" s="1"/>
        <tr r="E26" s="1"/>
        <tr r="H9" s="1"/>
        <tr r="H9" s="1"/>
        <tr r="E25" s="1"/>
        <tr r="E25" s="1"/>
        <tr r="E15" s="1"/>
        <tr r="E15" s="1"/>
        <tr r="E8" s="1"/>
        <tr r="E8" s="1"/>
        <tr r="E13" s="1"/>
        <tr r="E13" s="1"/>
        <tr r="E21" s="1"/>
        <tr r="E21" s="1"/>
        <tr r="H18" s="1"/>
        <tr r="H18" s="1"/>
        <tr r="AA8" s="1"/>
        <tr r="AA8" s="1"/>
        <tr r="AA13" s="1"/>
        <tr r="AA13" s="1"/>
        <tr r="AA28" s="1"/>
        <tr r="AA28" s="1"/>
        <tr r="AA15" s="1"/>
        <tr r="AA15" s="1"/>
        <tr r="AA6" s="1"/>
        <tr r="AA6" s="1"/>
        <tr r="AL13" s="1"/>
        <tr r="AL13" s="1"/>
        <tr r="AL14" s="1"/>
        <tr r="AL14" s="1"/>
        <tr r="AL17" s="1"/>
        <tr r="AL17" s="1"/>
        <tr r="G25" s="1"/>
        <tr r="G25" s="1"/>
        <tr r="AL27" s="1"/>
        <tr r="AL27" s="1"/>
        <tr r="G29" s="1"/>
        <tr r="G29" s="1"/>
        <tr r="AL9" s="1"/>
        <tr r="AL9" s="1"/>
        <tr r="G12" s="1"/>
        <tr r="G12" s="1"/>
        <tr r="G19" s="1"/>
        <tr r="G19" s="1"/>
        <tr r="AL28" s="1"/>
        <tr r="AL28" s="1"/>
        <tr r="G9" s="1"/>
        <tr r="G9" s="1"/>
        <tr r="AI11" s="1"/>
        <tr r="AI11" s="1"/>
        <tr r="H12" s="1"/>
        <tr r="H12" s="1"/>
        <tr r="J15" s="1"/>
        <tr r="J15" s="1"/>
        <tr r="AF11" s="1"/>
        <tr r="AF11" s="1"/>
        <tr r="G20" s="1"/>
        <tr r="G20" s="1"/>
        <tr r="E18" s="1"/>
        <tr r="E18" s="1"/>
        <tr r="H25" s="1"/>
        <tr r="H25" s="1"/>
        <tr r="E10" s="1"/>
        <tr r="E10" s="1"/>
        <tr r="D9" s="1"/>
        <tr r="D9" s="1"/>
        <tr r="AF8" s="1"/>
        <tr r="AF8" s="1"/>
        <tr r="G27" s="1"/>
        <tr r="G27" s="1"/>
        <tr r="J28" s="1"/>
        <tr r="J28" s="1"/>
        <tr r="AF6" s="1"/>
        <tr r="AF6" s="1"/>
        <tr r="H23" s="1"/>
        <tr r="H23" s="1"/>
        <tr r="E20" s="1"/>
        <tr r="E20" s="1"/>
        <tr r="D23" s="1"/>
        <tr r="D23" s="1"/>
        <tr r="D22" s="1"/>
        <tr r="D22" s="1"/>
        <tr r="G24" s="1"/>
        <tr r="G24" s="1"/>
        <tr r="AI6" s="1"/>
        <tr r="AI6" s="1"/>
        <tr r="AI9" s="1"/>
        <tr r="AI9" s="1"/>
        <tr r="J20" s="1"/>
        <tr r="J20" s="1"/>
        <tr r="AA24" s="1"/>
        <tr r="AA24" s="1"/>
        <tr r="AA11" s="1"/>
        <tr r="AA11" s="1"/>
        <tr r="AA21" s="1"/>
        <tr r="AA21" s="1"/>
        <tr r="AM5" s="1"/>
        <tr r="AM5" s="1"/>
        <tr r="AJ5" s="1"/>
        <tr r="AJ5" s="1"/>
        <tr r="AG5" s="1"/>
        <tr r="AG5" s="1"/>
        <tr r="AD5" s="1"/>
        <tr r="AD5" s="1"/>
        <tr r="AA5" s="1"/>
        <tr r="AA5" s="1"/>
        <tr r="X5" s="1"/>
        <tr r="X5" s="1"/>
        <tr r="V5" s="1"/>
        <tr r="V5" s="1"/>
        <tr r="S5" s="1"/>
        <tr r="S5" s="1"/>
        <tr r="O5" s="1"/>
        <tr r="O5" s="1"/>
        <tr r="J5" s="1"/>
        <tr r="J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W5" s="1"/>
        <tr r="AK5" s="1"/>
        <tr r="AK5" s="1"/>
        <tr r="AH5" s="1"/>
        <tr r="AH5" s="1"/>
        <tr r="AE5" s="1"/>
        <tr r="AE5" s="1"/>
        <tr r="AB5" s="1"/>
        <tr r="AB5" s="1"/>
        <tr r="Y5" s="1"/>
        <tr r="Y5" s="1"/>
        <tr r="T5" s="1"/>
        <tr r="T5" s="1"/>
        <tr r="Q5" s="1"/>
        <tr r="Q5" s="1"/>
        <tr r="N5" s="1"/>
        <tr r="N5" s="1"/>
        <tr r="H5" s="1"/>
        <tr r="H5" s="1"/>
        <tr r="H5" s="1"/>
        <tr r="H5" s="1"/>
        <tr r="H5" s="1"/>
        <tr r="H5" s="1"/>
        <tr r="H5" s="1"/>
        <tr r="H5" s="1"/>
        <tr r="H5" s="1"/>
        <tr r="H5" s="1"/>
        <tr r="H5" s="1"/>
        <tr r="H5" s="1"/>
        <tr r="H5" s="1"/>
        <tr r="H5" s="1"/>
        <tr r="H5" s="1"/>
        <tr r="H5" s="1"/>
        <tr r="H5" s="1"/>
        <tr r="H5" s="1"/>
        <tr r="AL5" s="1"/>
        <tr r="AL5" s="1"/>
        <tr r="AI5" s="1"/>
        <tr r="AI5" s="1"/>
        <tr r="AF5" s="1"/>
        <tr r="AF5" s="1"/>
        <tr r="AC5" s="1"/>
        <tr r="AC5" s="1"/>
        <tr r="Z5" s="1"/>
        <tr r="Z5" s="1"/>
        <tr r="U5" s="1"/>
        <tr r="U5" s="1"/>
        <tr r="R5" s="1"/>
        <tr r="R5" s="1"/>
        <tr r="P5" s="1"/>
        <tr r="P5" s="1"/>
        <tr r="M5" s="1"/>
        <tr r="M5" s="1"/>
        <tr r="L5" s="1"/>
        <tr r="L5" s="1"/>
        <tr r="K5" s="1"/>
        <tr r="K5" s="1"/>
        <tr r="I5" s="1"/>
        <tr r="I5" s="1"/>
        <tr r="G5" s="1"/>
        <tr r="G5" s="1"/>
        <tr r="F5" s="1"/>
        <tr r="F5" s="1"/>
        <tr r="E5" s="1"/>
        <tr r="E5" s="1"/>
        <tr r="D5" s="1"/>
        <tr r="D5" s="1"/>
        <tr r="C5" s="1"/>
        <tr r="C5" s="1"/>
        <tr r="B25" s="1"/>
        <tr r="B25" s="1"/>
        <tr r="B24" s="1"/>
        <tr r="B24" s="1"/>
        <tr r="B11" s="1"/>
        <tr r="B11" s="1"/>
        <tr r="B22" s="1"/>
        <tr r="B22" s="1"/>
        <tr r="B10" s="1"/>
        <tr r="B10" s="1"/>
        <tr r="B16" s="1"/>
        <tr r="B16" s="1"/>
        <tr r="B18" s="1"/>
        <tr r="B18" s="1"/>
        <tr r="B17" s="1"/>
        <tr r="B17" s="1"/>
        <tr r="B29" s="1"/>
        <tr r="B29" s="1"/>
        <tr r="B8" s="1"/>
        <tr r="B8" s="1"/>
        <tr r="B21" s="1"/>
        <tr r="B21" s="1"/>
        <tr r="B13" s="1"/>
        <tr r="B13" s="1"/>
        <tr r="B27" s="1"/>
        <tr r="B27" s="1"/>
        <tr r="B7" s="1"/>
        <tr r="B7" s="1"/>
        <tr r="B15" s="1"/>
        <tr r="B15" s="1"/>
        <tr r="B20" s="1"/>
        <tr r="B20" s="1"/>
        <tr r="B19" s="1"/>
        <tr r="B19" s="1"/>
        <tr r="B14" s="1"/>
        <tr r="B14" s="1"/>
        <tr r="B23" s="1"/>
        <tr r="B23" s="1"/>
        <tr r="B28" s="1"/>
        <tr r="B28" s="1"/>
        <tr r="B26" s="1"/>
        <tr r="B26" s="1"/>
        <tr r="B9" s="1"/>
        <tr r="B9" s="1"/>
        <tr r="B6" s="1"/>
        <tr r="B6" s="1"/>
        <tr r="B12" s="1"/>
        <tr r="B12" s="1"/>
        <tr r="B5" s="1"/>
        <tr r="B5" s="1"/>
      </tp>
      <tp t="s">
        <v>#N/A N/A</v>
        <stp/>
        <stp>BDP|585172212066068687</stp>
        <tr r="P29" s="1"/>
      </tp>
      <tp t="s">
        <v>#N/A N/A</v>
        <stp/>
        <stp>BDP|155016755817862249</stp>
        <tr r="AG20" s="1"/>
      </tp>
      <tp t="s">
        <v>#N/A N/A</v>
        <stp/>
        <stp>BDP|331942990112244207</stp>
        <tr r="C25" s="1"/>
      </tp>
      <tp t="s">
        <v>#N/A N/A</v>
        <stp/>
        <stp>BDP|930253028474190781</stp>
        <tr r="L16" s="1"/>
      </tp>
      <tp t="s">
        <v>#N/A N/A</v>
        <stp/>
        <stp>BDP|661563352471457281</stp>
        <tr r="AE18" s="1"/>
      </tp>
      <tp t="s">
        <v>#N/A N/A</v>
        <stp/>
        <stp>BDP|865814070869574544</stp>
        <tr r="E16" s="1"/>
      </tp>
      <tp t="s">
        <v>#N/A N/A</v>
        <stp/>
        <stp>BDP|762291006345977489</stp>
        <tr r="AK6" s="1"/>
      </tp>
      <tp t="s">
        <v>#N/A N/A</v>
        <stp/>
        <stp>BDP|946155163274764030</stp>
        <tr r="AJ12" s="1"/>
      </tp>
      <tp t="s">
        <v>#N/A N/A</v>
        <stp/>
        <stp>BDP|261713905047789350</stp>
        <tr r="O23" s="1"/>
      </tp>
      <tp t="s">
        <v>#N/A N/A</v>
        <stp/>
        <stp>BDP|698166027971052171</stp>
        <tr r="AJ14" s="1"/>
        <tr r="AJ13" s="1"/>
      </tp>
      <tp t="s">
        <v>#N/A N/A</v>
        <stp/>
        <stp>BDP|857861424180001998</stp>
        <tr r="AG18" s="1"/>
      </tp>
      <tp t="s">
        <v>#N/A N/A</v>
        <stp/>
        <stp>BDP|658434688039430744</stp>
        <tr r="R15" s="1"/>
      </tp>
      <tp t="s">
        <v>#N/A N/A</v>
        <stp/>
        <stp>BDP|594920598796415455</stp>
        <tr r="I21" s="1"/>
      </tp>
      <tp t="s">
        <v>#N/A N/A</v>
        <stp/>
        <stp>BDP|732010032730545188</stp>
        <tr r="AA18" s="1"/>
      </tp>
      <tp t="s">
        <v>#N/A N/A</v>
        <stp/>
        <stp>BDP|715412347025239771</stp>
        <tr r="V12" s="1"/>
      </tp>
      <tp t="s">
        <v>#N/A N/A</v>
        <stp/>
        <stp>BDP|601172260865331071</stp>
        <tr r="T9" s="1"/>
      </tp>
      <tp t="s">
        <v>#N/A N/A</v>
        <stp/>
        <stp>BDP|423885757174610475</stp>
        <tr r="F15" s="1"/>
      </tp>
      <tp t="s">
        <v>#N/A N/A</v>
        <stp/>
        <stp>BDP|531651739158741089</stp>
        <tr r="I18" s="1"/>
      </tp>
      <tp t="s">
        <v>#N/A N/A</v>
        <stp/>
        <stp>BDP|850669336429339196</stp>
        <tr r="F25" s="1"/>
      </tp>
      <tp t="s">
        <v>#N/A N/A</v>
        <stp/>
        <stp>BDP|700533088651907094</stp>
        <tr r="AL11" s="1"/>
      </tp>
      <tp t="s">
        <v>#N/A N/A</v>
        <stp/>
        <stp>BDP|681961735951209779</stp>
        <tr r="O15" s="1"/>
      </tp>
      <tp t="s">
        <v>#N/A N/A</v>
        <stp/>
        <stp>BDP|582135097600467446</stp>
        <tr r="AL17" s="1"/>
      </tp>
      <tp t="s">
        <v>#N/A N/A</v>
        <stp/>
        <stp>BDP|421538959399624599</stp>
        <tr r="L5" s="1"/>
      </tp>
      <tp t="s">
        <v>#N/A N/A</v>
        <stp/>
        <stp>BDP|886435096976459448</stp>
        <tr r="AF27" s="1"/>
      </tp>
      <tp t="s">
        <v>#N/A N/A</v>
        <stp/>
        <stp>BDP|253822888348849789</stp>
        <tr r="H10" s="1"/>
      </tp>
      <tp t="s">
        <v>#N/A N/A</v>
        <stp/>
        <stp>BDP|684078211899553712</stp>
        <tr r="Q21" s="1"/>
      </tp>
      <tp t="s">
        <v>#N/A N/A</v>
        <stp/>
        <stp>BDP|327750688405097584</stp>
        <tr r="AC27" s="1"/>
      </tp>
      <tp t="s">
        <v>#N/A N/A</v>
        <stp/>
        <stp>BDP|708356653360433891</stp>
        <tr r="X24" s="1"/>
      </tp>
      <tp t="s">
        <v>#N/A N/A</v>
        <stp/>
        <stp>BDP|571976585299943619</stp>
        <tr r="S11" s="1"/>
      </tp>
      <tp t="s">
        <v>#N/A N/A</v>
        <stp/>
        <stp>BDP|556014586545012344</stp>
        <tr r="AJ19" s="1"/>
      </tp>
      <tp t="s">
        <v>#N/A N/A</v>
        <stp/>
        <stp>BDP|982531028440696951</stp>
        <tr r="I11" s="1"/>
      </tp>
      <tp t="s">
        <v>#N/A N/A</v>
        <stp/>
        <stp>BDP|151876341316611428</stp>
        <tr r="Z26" s="1"/>
      </tp>
      <tp t="s">
        <v>#N/A N/A</v>
        <stp/>
        <stp>BDP|690789071388096129</stp>
        <tr r="P18" s="1"/>
      </tp>
      <tp t="s">
        <v>#N/A N/A</v>
        <stp/>
        <stp>BDP|499440939189457735</stp>
        <tr r="AG19" s="1"/>
      </tp>
      <tp t="s">
        <v>#N/A N/A</v>
        <stp/>
        <stp>BDP|818242013653418859</stp>
        <tr r="F27" s="1"/>
      </tp>
      <tp t="s">
        <v>#N/A N/A</v>
        <stp/>
        <stp>BDP|627448964668040245</stp>
        <tr r="I25" s="1"/>
      </tp>
      <tp t="s">
        <v>#N/A N/A</v>
        <stp/>
        <stp>BDP|777962924452213293</stp>
        <tr r="X15" s="1"/>
      </tp>
      <tp t="s">
        <v>#N/A N/A</v>
        <stp/>
        <stp>BDP|358412398947913129</stp>
        <tr r="AL13" s="1"/>
        <tr r="AL1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474C-65A6-4699-A9ED-621FE29C9CB7}">
  <dimension ref="A1:AM29"/>
  <sheetViews>
    <sheetView workbookViewId="0">
      <selection activeCell="B5" sqref="B5"/>
    </sheetView>
  </sheetViews>
  <sheetFormatPr defaultRowHeight="15" x14ac:dyDescent="0.25"/>
  <cols>
    <col min="1" max="1" width="16" bestFit="1" customWidth="1"/>
    <col min="2" max="4" width="35.28515625" bestFit="1" customWidth="1"/>
    <col min="5" max="5" width="35.42578125" bestFit="1" customWidth="1"/>
    <col min="6" max="6" width="35.140625" bestFit="1" customWidth="1"/>
    <col min="7" max="7" width="35.85546875" bestFit="1" customWidth="1"/>
    <col min="8" max="8" width="35.140625" bestFit="1" customWidth="1"/>
    <col min="9" max="9" width="35.28515625" bestFit="1" customWidth="1"/>
    <col min="10" max="10" width="36.85546875" bestFit="1" customWidth="1"/>
    <col min="11" max="11" width="36.7109375" bestFit="1" customWidth="1"/>
    <col min="12" max="12" width="38" bestFit="1" customWidth="1"/>
    <col min="13" max="13" width="40.140625" bestFit="1" customWidth="1"/>
    <col min="14" max="15" width="41.140625" bestFit="1" customWidth="1"/>
    <col min="16" max="16" width="41.28515625" bestFit="1" customWidth="1"/>
    <col min="17" max="17" width="40.7109375" bestFit="1" customWidth="1"/>
    <col min="18" max="18" width="41" bestFit="1" customWidth="1"/>
    <col min="19" max="19" width="38.5703125" bestFit="1" customWidth="1"/>
    <col min="20" max="20" width="41.140625" bestFit="1" customWidth="1"/>
    <col min="21" max="21" width="45.7109375" bestFit="1" customWidth="1"/>
    <col min="22" max="22" width="36.85546875" bestFit="1" customWidth="1"/>
    <col min="23" max="23" width="37.42578125" bestFit="1" customWidth="1"/>
    <col min="24" max="24" width="36.85546875" bestFit="1" customWidth="1"/>
    <col min="25" max="25" width="37.42578125" bestFit="1" customWidth="1"/>
    <col min="26" max="26" width="37.28515625" bestFit="1" customWidth="1"/>
    <col min="27" max="27" width="39.85546875" bestFit="1" customWidth="1"/>
    <col min="28" max="28" width="36.7109375" bestFit="1" customWidth="1"/>
    <col min="29" max="29" width="40.42578125" bestFit="1" customWidth="1"/>
    <col min="30" max="30" width="39.85546875" bestFit="1" customWidth="1"/>
    <col min="31" max="32" width="40.5703125" bestFit="1" customWidth="1"/>
    <col min="33" max="33" width="40" bestFit="1" customWidth="1"/>
    <col min="34" max="35" width="40.28515625" bestFit="1" customWidth="1"/>
    <col min="36" max="36" width="36.42578125" bestFit="1" customWidth="1"/>
    <col min="37" max="37" width="35.7109375" bestFit="1" customWidth="1"/>
    <col min="38" max="38" width="36.5703125" bestFit="1" customWidth="1"/>
    <col min="39" max="39" width="39.28515625" bestFit="1" customWidth="1"/>
  </cols>
  <sheetData>
    <row r="1" spans="1:39" x14ac:dyDescent="0.25">
      <c r="A1" t="s">
        <v>0</v>
      </c>
      <c r="B1" t="s">
        <v>1</v>
      </c>
      <c r="C1" t="s">
        <v>1</v>
      </c>
      <c r="D1" t="s">
        <v>1</v>
      </c>
      <c r="E1" t="s">
        <v>9</v>
      </c>
      <c r="F1" t="s">
        <v>7</v>
      </c>
      <c r="G1" t="s">
        <v>10</v>
      </c>
      <c r="H1" t="s">
        <v>11</v>
      </c>
      <c r="I1" t="s">
        <v>12</v>
      </c>
      <c r="J1" t="s">
        <v>8</v>
      </c>
      <c r="K1" t="s">
        <v>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41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39</v>
      </c>
      <c r="AM1" t="s">
        <v>38</v>
      </c>
    </row>
    <row r="2" spans="1:39" x14ac:dyDescent="0.25">
      <c r="A2" t="s">
        <v>40</v>
      </c>
      <c r="B2" t="str" cm="1">
        <f t="array" ref="B2">_xll.BDP(B1,"LONG_COMP_NAME")</f>
        <v>S&amp;P 500 INDEX</v>
      </c>
      <c r="C2" t="str" cm="1">
        <f t="array" ref="C2">_xll.BDP(C1,"LONG_COMP_NAME")</f>
        <v>S&amp;P 500 INDEX</v>
      </c>
      <c r="D2" t="str" cm="1">
        <f t="array" ref="D2">_xll.BDP(D1,"LONG_COMP_NAME")</f>
        <v>S&amp;P 500 INDEX</v>
      </c>
      <c r="E2" t="str" cm="1">
        <f t="array" ref="E2">_xll.BDP(E1,"LONG_COMP_NAME")</f>
        <v>S&amp;P Midcap 400 Index</v>
      </c>
      <c r="F2" t="str" cm="1">
        <f t="array" ref="F2">_xll.BDP(F1,"LONG_COMP_NAME")</f>
        <v>Russell 2000 Index</v>
      </c>
      <c r="G2" t="str" cm="1">
        <f t="array" ref="G2">_xll.BDP(G1,"LONG_COMP_NAME")</f>
        <v>Nasdaq-100 Index</v>
      </c>
      <c r="H2" t="str" cm="1">
        <f t="array" ref="H2">_xll.BDP(H1,"LONG_COMP_NAME")</f>
        <v>Russell 1000 Value Index</v>
      </c>
      <c r="I2" t="str" cm="1">
        <f t="array" ref="I2">_xll.BDP(I1,"LONG_COMP_NAME")</f>
        <v>Russell 1000 Growth Index</v>
      </c>
      <c r="J2" t="str" cm="1">
        <f t="array" ref="J2">_xll.BDP(J1,"LONG_COMP_NAME")</f>
        <v>MSCI EAFE Index</v>
      </c>
      <c r="K2" t="str" cm="1">
        <f t="array" ref="K2">_xll.BDP(K1,"LONG_COMP_NAME")</f>
        <v>MSCI Emerging Markets Index</v>
      </c>
      <c r="L2" t="str" cm="1">
        <f t="array" ref="L2">_xll.BDP(L1,"LONG_COMP_NAME")</f>
        <v>MSCI World Index</v>
      </c>
      <c r="M2" t="str" cm="1">
        <f t="array" ref="M2">_xll.BDP(M1,"LONG_COMP_NAME")</f>
        <v>US Generic Govt 2 Yr</v>
      </c>
      <c r="N2" t="str" cm="1">
        <f t="array" ref="N2">_xll.BDP(N1,"LONG_COMP_NAME")</f>
        <v>US Generic Govt 10 Yr</v>
      </c>
      <c r="O2" t="str" cm="1">
        <f t="array" ref="O2">_xll.BDP(O1,"LONG_COMP_NAME")</f>
        <v>Bloomberg US Treasury Total Return Unhedged USD</v>
      </c>
      <c r="P2" t="str" cm="1">
        <f t="array" ref="P2">_xll.BDP(P1,"LONG_COMP_NAME")</f>
        <v>Bloomberg US Corporate Total Return Value Unhedged USD</v>
      </c>
      <c r="Q2" t="str" cm="1">
        <f t="array" ref="Q2">_xll.BDP(Q1,"LONG_COMP_NAME")</f>
        <v>Bloomberg US Corporate High Yield Total Return Index Value Unhedged USD</v>
      </c>
      <c r="R2" t="str" cm="1">
        <f t="array" ref="R2">_xll.BDP(R1,"LONG_COMP_NAME")</f>
        <v>Bloomberg Global Agg Treasuries Total Return Index Value Unhedged USD</v>
      </c>
      <c r="S2" t="str" cm="1">
        <f t="array" ref="S2">_xll.BDP(S1,"LONG_COMP_NAME")</f>
        <v>J.P. Morgan EMBI Global Diversified Composite</v>
      </c>
      <c r="T2" t="str" cm="1">
        <f t="array" ref="T2">_xll.BDP(T1,"LONG_COMP_NAME")</f>
        <v>Bloomberg US Treasury Inflation Notes TR Index Value Unhedged USD</v>
      </c>
      <c r="U2" t="str" cm="1">
        <f t="array" ref="U2">_xll.BDP(U1,"LONG_COMP_NAME")</f>
        <v>#N/A Invalid Security</v>
      </c>
      <c r="V2" t="str" cm="1">
        <f t="array" ref="V2">_xll.BDP(V1,"LONG_COMP_NAME")</f>
        <v>#N/A Field Not Applicable</v>
      </c>
      <c r="W2" t="str" cm="1">
        <f t="array" ref="W2">_xll.BDP(W1,"LONG_COMP_NAME")</f>
        <v>#N/A Field Not Applicable</v>
      </c>
      <c r="X2" t="str" cm="1">
        <f t="array" ref="X2">_xll.BDP(X1,"LONG_COMP_NAME")</f>
        <v>XAUUSD Spot Exchange Rate - Price of 1 XAU in USD</v>
      </c>
      <c r="Y2" t="str" cm="1">
        <f t="array" ref="Y2">_xll.BDP(Y1,"LONG_COMP_NAME")</f>
        <v>#N/A Field Not Applicable</v>
      </c>
      <c r="Z2" t="str" cm="1">
        <f t="array" ref="Z2">_xll.BDP(Z1,"LONG_COMP_NAME")</f>
        <v>Bloomberg Commodity Index</v>
      </c>
      <c r="AA2" t="str" cm="1">
        <f t="array" ref="AA2">_xll.BDP(AA1,"LONG_COMP_NAME")</f>
        <v>Bloomberg Agriculture Subindex</v>
      </c>
      <c r="AB2" t="str" cm="1">
        <f t="array" ref="AB2">_xll.BDP(AB1,"LONG_COMP_NAME")</f>
        <v>#N/A Field Not Applicable</v>
      </c>
      <c r="AC2" t="str" cm="1">
        <f t="array" ref="AC2">_xll.BDP(AC1,"LONG_COMP_NAME")</f>
        <v>EURUSD Spot Exchange Rate - Price of 1 EUR in USD</v>
      </c>
      <c r="AD2" t="str" cm="1">
        <f t="array" ref="AD2">_xll.BDP(AD1,"LONG_COMP_NAME")</f>
        <v>USDJPY Spot Exchange Rate - Price of 1 USD in JPY</v>
      </c>
      <c r="AE2" t="str" cm="1">
        <f t="array" ref="AE2">_xll.BDP(AE1,"LONG_COMP_NAME")</f>
        <v>GBPUSD Spot Exchange Rate - Price of 1 GBP in USD</v>
      </c>
      <c r="AF2" t="str" cm="1">
        <f t="array" ref="AF2">_xll.BDP(AF1,"LONG_COMP_NAME")</f>
        <v>USDCNY Spot Exchange Rate - Price of 1 USD in CNY</v>
      </c>
      <c r="AG2" t="str" cm="1">
        <f t="array" ref="AG2">_xll.BDP(AG1,"LONG_COMP_NAME")</f>
        <v>JPMorgan Funds - Emerging Markets Debt Fund</v>
      </c>
      <c r="AH2" t="str" cm="1">
        <f t="array" ref="AH2">_xll.BDP(AH1,"LONG_COMP_NAME")</f>
        <v>XBTUSD Spot Exchange Rate - Price of 1 XBT in USD</v>
      </c>
      <c r="AI2" t="str" cm="1">
        <f t="array" ref="AI2">_xll.BDP(AI1,"LONG_COMP_NAME")</f>
        <v>XETUSD Spot Exchange Rate - Price of 1 XET in USD</v>
      </c>
      <c r="AJ2" t="str" cm="1">
        <f t="array" ref="AJ2">_xll.BDP(AJ1,"LONG_COMP_NAME")</f>
        <v>Bitwise 10 Crypto Index Fund</v>
      </c>
      <c r="AK2" t="str" cm="1">
        <f t="array" ref="AK2">_xll.BDP(AK1,"LONG_COMP_NAME")</f>
        <v>MSCI US REIT Index</v>
      </c>
      <c r="AL2" t="str" cm="1">
        <f t="array" ref="AL2">_xll.BDP(AL1,"LONG_COMP_NAME")</f>
        <v>FTSE EPRA NAREIT DEVELOPED Total Return Index USD</v>
      </c>
      <c r="AM2" t="str" cm="1">
        <f t="array" ref="AM2">_xll.BDP(AM1,"LONG_COMP_NAME")</f>
        <v>iShares U.S. Infrastructure ETF</v>
      </c>
    </row>
    <row r="3" spans="1:39" x14ac:dyDescent="0.25">
      <c r="A3" t="s">
        <v>3</v>
      </c>
      <c r="B3" t="s">
        <v>6</v>
      </c>
      <c r="C3" t="s">
        <v>5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</row>
    <row r="4" spans="1:39" x14ac:dyDescent="0.25">
      <c r="B4" t="str">
        <f>CONCATENATE("BETA_OVERRIDE_REL_INDEX=",B1)</f>
        <v>BETA_OVERRIDE_REL_INDEX=SPX Index</v>
      </c>
      <c r="C4" t="str">
        <f>CONCATENATE("BETA_OVERRIDE_REL_INDEX=",C1)</f>
        <v>BETA_OVERRIDE_REL_INDEX=SPX Index</v>
      </c>
      <c r="D4" t="str">
        <f>CONCATENATE("BETA_OVERRIDE_REL_INDEX=",D1)</f>
        <v>BETA_OVERRIDE_REL_INDEX=SPX Index</v>
      </c>
      <c r="E4" t="str">
        <f>CONCATENATE("BETA_OVERRIDE_REL_INDEX=",E1)</f>
        <v>BETA_OVERRIDE_REL_INDEX=MID Index</v>
      </c>
      <c r="F4" t="str">
        <f>CONCATENATE("BETA_OVERRIDE_REL_INDEX=",F1)</f>
        <v>BETA_OVERRIDE_REL_INDEX=RTY Index</v>
      </c>
      <c r="G4" t="str">
        <f>CONCATENATE("BETA_OVERRIDE_REL_INDEX=",G1)</f>
        <v>BETA_OVERRIDE_REL_INDEX=NDX Index</v>
      </c>
      <c r="H4" t="str">
        <f>CONCATENATE("BETA_OVERRIDE_REL_INDEX=",H1)</f>
        <v>BETA_OVERRIDE_REL_INDEX=RLV Index</v>
      </c>
      <c r="I4" t="str">
        <f>CONCATENATE("BETA_OVERRIDE_REL_INDEX=",I1)</f>
        <v>BETA_OVERRIDE_REL_INDEX=RLG Index</v>
      </c>
      <c r="J4" t="str">
        <f>CONCATENATE("BETA_OVERRIDE_REL_INDEX=",J1)</f>
        <v>BETA_OVERRIDE_REL_INDEX=MXEA Index</v>
      </c>
      <c r="K4" t="str">
        <f>CONCATENATE("BETA_OVERRIDE_REL_INDEX=",K1)</f>
        <v>BETA_OVERRIDE_REL_INDEX=MXEF Index</v>
      </c>
      <c r="L4" t="str">
        <f>CONCATENATE("BETA_OVERRIDE_REL_INDEX=",L1)</f>
        <v>BETA_OVERRIDE_REL_INDEX=MXWO Index</v>
      </c>
      <c r="M4" t="str">
        <f>CONCATENATE("BETA_OVERRIDE_REL_INDEX=",M1)</f>
        <v>BETA_OVERRIDE_REL_INDEX=USGG2YR Index</v>
      </c>
      <c r="N4" t="str">
        <f>CONCATENATE("BETA_OVERRIDE_REL_INDEX=",N1)</f>
        <v>BETA_OVERRIDE_REL_INDEX=USGG10YR Index</v>
      </c>
      <c r="O4" t="str">
        <f>CONCATENATE("BETA_OVERRIDE_REL_INDEX=",O1)</f>
        <v>BETA_OVERRIDE_REL_INDEX=LUATTRUU Index</v>
      </c>
      <c r="P4" t="str">
        <f>CONCATENATE("BETA_OVERRIDE_REL_INDEX=",P1)</f>
        <v>BETA_OVERRIDE_REL_INDEX=LUACTRUU Index</v>
      </c>
      <c r="Q4" t="str">
        <f>CONCATENATE("BETA_OVERRIDE_REL_INDEX=",Q1)</f>
        <v>BETA_OVERRIDE_REL_INDEX=LF98TRUU Index</v>
      </c>
      <c r="R4" t="str">
        <f>CONCATENATE("BETA_OVERRIDE_REL_INDEX=",R1)</f>
        <v>BETA_OVERRIDE_REL_INDEX=LGTRTRUU Index</v>
      </c>
      <c r="S4" t="str">
        <f>CONCATENATE("BETA_OVERRIDE_REL_INDEX=",S1)</f>
        <v>BETA_OVERRIDE_REL_INDEX=JPEIDIV Index</v>
      </c>
      <c r="T4" t="str">
        <f>CONCATENATE("BETA_OVERRIDE_REL_INDEX=",T1)</f>
        <v>BETA_OVERRIDE_REL_INDEX=LBUTTRUU Index</v>
      </c>
      <c r="U4" t="str">
        <f>CONCATENATE("BETA_OVERRIDE_REL_INDEX=",U1)</f>
        <v>BETA_OVERRIDE_REL_INDEX=USGG10YR - USGG2YR</v>
      </c>
      <c r="V4" t="str">
        <f>CONCATENATE("BETA_OVERRIDE_REL_INDEX=",V1)</f>
        <v>BETA_OVERRIDE_REL_INDEX=CL1 Comdty</v>
      </c>
      <c r="W4" t="str">
        <f>CONCATENATE("BETA_OVERRIDE_REL_INDEX=",W1)</f>
        <v>BETA_OVERRIDE_REL_INDEX=CO1 Comdty</v>
      </c>
      <c r="X4" t="str">
        <f>CONCATENATE("BETA_OVERRIDE_REL_INDEX=",X1)</f>
        <v>BETA_OVERRIDE_REL_INDEX=XAU Curncy</v>
      </c>
      <c r="Y4" t="str">
        <f>CONCATENATE("BETA_OVERRIDE_REL_INDEX=",Y1)</f>
        <v>BETA_OVERRIDE_REL_INDEX=HG1 Comdty</v>
      </c>
      <c r="Z4" t="str">
        <f>CONCATENATE("BETA_OVERRIDE_REL_INDEX=",Z1)</f>
        <v>BETA_OVERRIDE_REL_INDEX=BCOM Index</v>
      </c>
      <c r="AA4" t="str">
        <f>CONCATENATE("BETA_OVERRIDE_REL_INDEX=",AA1)</f>
        <v>BETA_OVERRIDE_REL_INDEX=BCOMAG Index</v>
      </c>
      <c r="AB4" t="str">
        <f>CONCATENATE("BETA_OVERRIDE_REL_INDEX=",AB1)</f>
        <v>BETA_OVERRIDE_REL_INDEX=DXY Curncy</v>
      </c>
      <c r="AC4" t="str">
        <f>CONCATENATE("BETA_OVERRIDE_REL_INDEX=",AC1)</f>
        <v>BETA_OVERRIDE_REL_INDEX=EURUSD Curncy</v>
      </c>
      <c r="AD4" t="str">
        <f>CONCATENATE("BETA_OVERRIDE_REL_INDEX=",AD1)</f>
        <v>BETA_OVERRIDE_REL_INDEX=USDJPY Curncy</v>
      </c>
      <c r="AE4" t="str">
        <f>CONCATENATE("BETA_OVERRIDE_REL_INDEX=",AE1)</f>
        <v>BETA_OVERRIDE_REL_INDEX=GBPUSD Curncy</v>
      </c>
      <c r="AF4" t="str">
        <f>CONCATENATE("BETA_OVERRIDE_REL_INDEX=",AF1)</f>
        <v>BETA_OVERRIDE_REL_INDEX=USDCNY Curncy</v>
      </c>
      <c r="AG4" t="str">
        <f>CONCATENATE("BETA_OVERRIDE_REL_INDEX=",AG1)</f>
        <v>BETA_OVERRIDE_REL_INDEX=JPEMXUS Index</v>
      </c>
      <c r="AH4" t="str">
        <f>CONCATENATE("BETA_OVERRIDE_REL_INDEX=",AH1)</f>
        <v>BETA_OVERRIDE_REL_INDEX=XBTUSD Curncy</v>
      </c>
      <c r="AI4" t="str">
        <f>CONCATENATE("BETA_OVERRIDE_REL_INDEX=",AI1)</f>
        <v>BETA_OVERRIDE_REL_INDEX=ETHUSD Curncy</v>
      </c>
      <c r="AJ4" t="str">
        <f>CONCATENATE("BETA_OVERRIDE_REL_INDEX=",AJ1)</f>
        <v>BETA_OVERRIDE_REL_INDEX=BITW Index</v>
      </c>
      <c r="AK4" t="str">
        <f>CONCATENATE("BETA_OVERRIDE_REL_INDEX=",AK1)</f>
        <v>BETA_OVERRIDE_REL_INDEX=RMZ Index</v>
      </c>
      <c r="AL4" t="str">
        <f>CONCATENATE("BETA_OVERRIDE_REL_INDEX=",AL1)</f>
        <v>BETA_OVERRIDE_REL_INDEX=RUGL Index</v>
      </c>
      <c r="AM4" t="str">
        <f>CONCATENATE("BETA_OVERRIDE_REL_INDEX=",AM1)</f>
        <v>BETA_OVERRIDE_REL_INDEX=IFRA US Equity</v>
      </c>
    </row>
    <row r="5" spans="1:39" x14ac:dyDescent="0.25">
      <c r="A5" t="s">
        <v>42</v>
      </c>
      <c r="B5" s="1" cm="1">
        <f t="array" ref="B5">_xll.BDP($A5, "BETA_ADJ_OVERRIDABLE", "BETA_OVERRIDE_START_DT", _xll.BADDPERIODS(_xll.BTODAY(),"NUMBEROFPERIODS=-5","PER=Y"), "BETA_OVERRIDE_END_DT", _xll.BTODAY(), B$4, "BETA_OVERRIDE_PERIOD=M")</f>
        <v>0.73923180628598562</v>
      </c>
      <c r="C5" s="1" cm="1">
        <f t="array" ref="C5">_xll.BDP($A5, "BETA_ADJ_OVERRIDABLE", "BETA_OVERRIDE_START_DT", _xll.BADDPERIODS(_xll.BTODAY(),"NUMBEROFPERIODS=-3","PER=Y"), "BETA_OVERRIDE_END_DT", _xll.BTODAY(), C$4, "BETA_OVERRIDE_PERIOD=W")</f>
        <v>0.82693417541377556</v>
      </c>
      <c r="D5" s="1" cm="1">
        <f t="array" ref="D5">_xll.BDP($A5, "BETA_ADJ_OVERRIDABLE", "BETA_OVERRIDE_START_DT", _xll.BADDPERIODS(_xll.BTODAY(),"NUMBEROFPERIODS=-1","PER=Y"), "BETA_OVERRIDE_END_DT", _xll.BTODAY(), D$4, "BETA_OVERRIDE_PERIOD=D")</f>
        <v>0.80071988210156597</v>
      </c>
      <c r="E5" s="1" cm="1">
        <f t="array" ref="E5">_xll.BDP($A5, "BETA_ADJ_OVERRIDABLE", "BETA_OVERRIDE_START_DT", _xll.BADDPERIODS(_xll.BTODAY(),"NUMBEROFPERIODS=-1","PER=Y"), "BETA_OVERRIDE_END_DT", _xll.BTODAY(), E$4, "BETA_OVERRIDE_PERIOD=D")</f>
        <v>0.7207855141211521</v>
      </c>
      <c r="F5" s="1" cm="1">
        <f t="array" ref="F5">_xll.BDP($A5, "BETA_ADJ_OVERRIDABLE", "BETA_OVERRIDE_START_DT", _xll.BADDPERIODS(_xll.BTODAY(),"NUMBEROFPERIODS=-1","PER=Y"), "BETA_OVERRIDE_END_DT", _xll.BTODAY(), F$4, "BETA_OVERRIDE_PERIOD=D")</f>
        <v>0.67031165792264658</v>
      </c>
      <c r="G5" s="1" cm="1">
        <f t="array" ref="G5">_xll.BDP($A5, "BETA_ADJ_OVERRIDABLE", "BETA_OVERRIDE_START_DT", _xll.BADDPERIODS(_xll.BTODAY(),"NUMBEROFPERIODS=-1","PER=Y"), "BETA_OVERRIDE_END_DT", _xll.BTODAY(), G$4, "BETA_OVERRIDE_PERIOD=D")</f>
        <v>0.70593659510079743</v>
      </c>
      <c r="H5" s="1" cm="1">
        <f t="array" ref="H5">_xll.BDP($A5, "BETA_ADJ_OVERRIDABLE", "BETA_OVERRIDE_START_DT", _xll.BADDPERIODS(_xll.BTODAY(),"NUMBEROFPERIODS=-1","PER=Y"), "BETA_OVERRIDE_END_DT", _xll.BTODAY(), H$4, "BETA_OVERRIDE_PERIOD=D")</f>
        <v>0.82887060904871102</v>
      </c>
      <c r="I5" s="1" cm="1">
        <f t="array" ref="I5">_xll.BDP($A5, "BETA_ADJ_OVERRIDABLE", "BETA_OVERRIDE_START_DT", _xll.BADDPERIODS(_xll.BTODAY(),"NUMBEROFPERIODS=-1","PER=Y"), "BETA_OVERRIDE_END_DT", _xll.BTODAY(), I$4, "BETA_OVERRIDE_PERIOD=D")</f>
        <v>0.69524967728132325</v>
      </c>
      <c r="J5" s="1" cm="1">
        <f t="array" ref="J5">_xll.BDP($A5, "BETA_ADJ_OVERRIDABLE", "BETA_OVERRIDE_START_DT", _xll.BADDPERIODS(_xll.BTODAY(),"NUMBEROFPERIODS=-1","PER=Y"), "BETA_OVERRIDE_END_DT", _xll.BTODAY(), J$4, "BETA_OVERRIDE_PERIOD=D")</f>
        <v>0.63869409243556841</v>
      </c>
      <c r="K5" s="1" cm="1">
        <f t="array" ref="K5">_xll.BDP($A5, "BETA_ADJ_OVERRIDABLE", "BETA_OVERRIDE_START_DT", _xll.BADDPERIODS(_xll.BTODAY(),"NUMBEROFPERIODS=-1","PER=Y"), "BETA_OVERRIDE_END_DT", _xll.BTODAY(), K$4, "BETA_OVERRIDE_PERIOD=D")</f>
        <v>0.78582807968760571</v>
      </c>
      <c r="L5" s="1" cm="1">
        <f t="array" ref="L5">_xll.BDP($A5, "BETA_ADJ_OVERRIDABLE", "BETA_OVERRIDE_START_DT", _xll.BADDPERIODS(_xll.BTODAY(),"NUMBEROFPERIODS=-1","PER=Y"), "BETA_OVERRIDE_END_DT", _xll.BTODAY(), L$4, "BETA_OVERRIDE_PERIOD=D")</f>
        <v>0.96216443445466981</v>
      </c>
      <c r="M5" s="1" cm="1">
        <f t="array" ref="M5">_xll.BDP($A5, "BETA_ADJ_OVERRIDABLE", "BETA_OVERRIDE_START_DT", _xll.BADDPERIODS(_xll.BTODAY(),"NUMBEROFPERIODS=-1","PER=Y"), "BETA_OVERRIDE_END_DT", _xll.BTODAY(), M$4, "BETA_OVERRIDE_PERIOD=D")</f>
        <v>0.44667727284825276</v>
      </c>
      <c r="N5" s="1" cm="1">
        <f t="array" ref="N5">_xll.BDP($A5, "BETA_ADJ_OVERRIDABLE", "BETA_OVERRIDE_START_DT", _xll.BADDPERIODS(_xll.BTODAY(),"NUMBEROFPERIODS=-1","PER=Y"), "BETA_OVERRIDE_END_DT", _xll.BTODAY(), N$4, "BETA_OVERRIDE_PERIOD=D")</f>
        <v>0.33146870693821057</v>
      </c>
      <c r="O5" s="1" cm="1">
        <f t="array" ref="O5">_xll.BDP($A5, "BETA_ADJ_OVERRIDABLE", "BETA_OVERRIDE_START_DT", _xll.BADDPERIODS(_xll.BTODAY(),"NUMBEROFPERIODS=-1","PER=Y"), "BETA_OVERRIDE_END_DT", _xll.BTODAY(), O$4, "BETA_OVERRIDE_PERIOD=D")</f>
        <v>0.30009995518195332</v>
      </c>
      <c r="P5" s="1" cm="1">
        <f t="array" ref="P5">_xll.BDP($A5, "BETA_ADJ_OVERRIDABLE", "BETA_OVERRIDE_START_DT", _xll.BADDPERIODS(_xll.BTODAY(),"NUMBEROFPERIODS=-1","PER=Y"), "BETA_OVERRIDE_END_DT", _xll.BTODAY(), P$4, "BETA_OVERRIDE_PERIOD=D")</f>
        <v>0.76924178818964206</v>
      </c>
      <c r="Q5" s="1" cm="1">
        <f t="array" ref="Q5">_xll.BDP($A5, "BETA_ADJ_OVERRIDABLE", "BETA_OVERRIDE_START_DT", _xll.BADDPERIODS(_xll.BTODAY(),"NUMBEROFPERIODS=-1","PER=Y"), "BETA_OVERRIDE_END_DT", _xll.BTODAY(), Q$4, "BETA_OVERRIDE_PERIOD=D")</f>
        <v>2.4977140854219666</v>
      </c>
      <c r="R5" s="1" cm="1">
        <f t="array" ref="R5">_xll.BDP($A5, "BETA_ADJ_OVERRIDABLE", "BETA_OVERRIDE_START_DT", _xll.BADDPERIODS(_xll.BTODAY(),"NUMBEROFPERIODS=-1","PER=Y"), "BETA_OVERRIDE_END_DT", _xll.BTODAY(), R$4, "BETA_OVERRIDE_PERIOD=D")</f>
        <v>0.75255850433583582</v>
      </c>
      <c r="S5" s="1" cm="1">
        <f t="array" ref="S5">_xll.BDP($A5, "BETA_ADJ_OVERRIDABLE", "BETA_OVERRIDE_START_DT", _xll.BADDPERIODS(_xll.BTODAY(),"NUMBEROFPERIODS=-1","PER=Y"), "BETA_OVERRIDE_END_DT", _xll.BTODAY(), S$4, "BETA_OVERRIDE_PERIOD=D")</f>
        <v>0.9349308883021018</v>
      </c>
      <c r="T5" s="1" cm="1">
        <f t="array" ref="T5">_xll.BDP($A5, "BETA_ADJ_OVERRIDABLE", "BETA_OVERRIDE_START_DT", _xll.BADDPERIODS(_xll.BTODAY(),"NUMBEROFPERIODS=-1","PER=Y"), "BETA_OVERRIDE_END_DT", _xll.BTODAY(), T$4, "BETA_OVERRIDE_PERIOD=D")</f>
        <v>0.52648830296182947</v>
      </c>
      <c r="U5" s="1" cm="1">
        <f t="array" ref="U5">_xll.BDP($A5, "BETA_ADJ_OVERRIDABLE", "BETA_OVERRIDE_START_DT", _xll.BADDPERIODS(_xll.BTODAY(),"NUMBEROFPERIODS=-1","PER=Y"), "BETA_OVERRIDE_END_DT", _xll.BTODAY(), U$4, "BETA_OVERRIDE_PERIOD=D")</f>
        <v>0.33146870693821057</v>
      </c>
      <c r="V5" s="1" cm="1">
        <f t="array" ref="V5">_xll.BDP($A5, "BETA_ADJ_OVERRIDABLE", "BETA_OVERRIDE_START_DT", _xll.BADDPERIODS(_xll.BTODAY(),"NUMBEROFPERIODS=-1","PER=Y"), "BETA_OVERRIDE_END_DT", _xll.BTODAY(), V$4, "BETA_OVERRIDE_PERIOD=D")</f>
        <v>0.39446642725703807</v>
      </c>
      <c r="W5" s="1" cm="1">
        <f t="array" ref="W5">_xll.BDP($A5, "BETA_ADJ_OVERRIDABLE", "BETA_OVERRIDE_START_DT", _xll.BADDPERIODS(_xll.BTODAY(),"NUMBEROFPERIODS=-1","PER=Y"), "BETA_OVERRIDE_END_DT", _xll.BTODAY(), W$4, "BETA_OVERRIDE_PERIOD=D")</f>
        <v>0.4085273825110507</v>
      </c>
      <c r="X5" s="1" cm="1">
        <f t="array" ref="X5">_xll.BDP($A5, "BETA_ADJ_OVERRIDABLE", "BETA_OVERRIDE_START_DT", _xll.BADDPERIODS(_xll.BTODAY(),"NUMBEROFPERIODS=-1","PER=Y"), "BETA_OVERRIDE_END_DT", _xll.BTODAY(), X$4, "BETA_OVERRIDE_PERIOD=D")</f>
        <v>0.50304150596642616</v>
      </c>
      <c r="Y5" s="1" cm="1">
        <f t="array" ref="Y5">_xll.BDP($A5, "BETA_ADJ_OVERRIDABLE", "BETA_OVERRIDE_START_DT", _xll.BADDPERIODS(_xll.BTODAY(),"NUMBEROFPERIODS=-1","PER=Y"), "BETA_OVERRIDE_END_DT", _xll.BTODAY(), Y$4, "BETA_OVERRIDE_PERIOD=D")</f>
        <v>0.46548983601848209</v>
      </c>
      <c r="Z5" s="1" cm="1">
        <f t="array" ref="Z5">_xll.BDP($A5, "BETA_ADJ_OVERRIDABLE", "BETA_OVERRIDE_START_DT", _xll.BADDPERIODS(_xll.BTODAY(),"NUMBEROFPERIODS=-1","PER=Y"), "BETA_OVERRIDE_END_DT", _xll.BTODAY(), Z$4, "BETA_OVERRIDE_PERIOD=D")</f>
        <v>0.73072414549255216</v>
      </c>
      <c r="AA5" s="1" cm="1">
        <f t="array" ref="AA5">_xll.BDP($A5, "BETA_ADJ_OVERRIDABLE", "BETA_OVERRIDE_START_DT", _xll.BADDPERIODS(_xll.BTODAY(),"NUMBEROFPERIODS=-1","PER=Y"), "BETA_OVERRIDE_END_DT", _xll.BTODAY(), AA$4, "BETA_OVERRIDE_PERIOD=D")</f>
        <v>0.60345963231358213</v>
      </c>
      <c r="AB5" s="1" cm="1">
        <f t="array" ref="AB5">_xll.BDP($A5, "BETA_ADJ_OVERRIDABLE", "BETA_OVERRIDE_START_DT", _xll.BADDPERIODS(_xll.BTODAY(),"NUMBEROFPERIODS=-1","PER=Y"), "BETA_OVERRIDE_END_DT", _xll.BTODAY(), AB$4, "BETA_OVERRIDE_PERIOD=D")</f>
        <v>-4.2984167450552835E-2</v>
      </c>
      <c r="AC5" s="1" cm="1">
        <f t="array" ref="AC5">_xll.BDP($A5, "BETA_ADJ_OVERRIDABLE", "BETA_OVERRIDE_START_DT", _xll.BADDPERIODS(_xll.BTODAY(),"NUMBEROFPERIODS=-1","PER=Y"), "BETA_OVERRIDE_END_DT", _xll.BTODAY(), AC$4, "BETA_OVERRIDE_PERIOD=D")</f>
        <v>0.63403924201581341</v>
      </c>
      <c r="AD5" s="1" cm="1">
        <f t="array" ref="AD5">_xll.BDP($A5, "BETA_ADJ_OVERRIDABLE", "BETA_OVERRIDE_START_DT", _xll.BADDPERIODS(_xll.BTODAY(),"NUMBEROFPERIODS=-1","PER=Y"), "BETA_OVERRIDE_END_DT", _xll.BTODAY(), AD$4, "BETA_OVERRIDE_PERIOD=D")</f>
        <v>0.37119107103266713</v>
      </c>
      <c r="AE5" s="1" cm="1">
        <f t="array" ref="AE5">_xll.BDP($A5, "BETA_ADJ_OVERRIDABLE", "BETA_OVERRIDE_START_DT", _xll.BADDPERIODS(_xll.BTODAY(),"NUMBEROFPERIODS=-1","PER=Y"), "BETA_OVERRIDE_END_DT", _xll.BTODAY(), AE$4, "BETA_OVERRIDE_PERIOD=D")</f>
        <v>0.94801653246887962</v>
      </c>
      <c r="AF5" s="1" cm="1">
        <f t="array" ref="AF5">_xll.BDP($A5, "BETA_ADJ_OVERRIDABLE", "BETA_OVERRIDE_START_DT", _xll.BADDPERIODS(_xll.BTODAY(),"NUMBEROFPERIODS=-1","PER=Y"), "BETA_OVERRIDE_END_DT", _xll.BTODAY(), AF$4, "BETA_OVERRIDE_PERIOD=D")</f>
        <v>-1.4160576093273192</v>
      </c>
      <c r="AG5" s="1" cm="1">
        <f t="array" ref="AG5">_xll.BDP($A5, "BETA_ADJ_OVERRIDABLE", "BETA_OVERRIDE_START_DT", _xll.BADDPERIODS(_xll.BTODAY(),"NUMBEROFPERIODS=-1","PER=Y"), "BETA_OVERRIDE_END_DT", _xll.BTODAY(), AG$4, "BETA_OVERRIDE_PERIOD=D")</f>
        <v>0.29216788660825527</v>
      </c>
      <c r="AH5" s="1" cm="1">
        <f t="array" ref="AH5">_xll.BDP($A5, "BETA_ADJ_OVERRIDABLE", "BETA_OVERRIDE_START_DT", _xll.BADDPERIODS(_xll.BTODAY(),"NUMBEROFPERIODS=-1","PER=Y"), "BETA_OVERRIDE_END_DT", _xll.BTODAY(), AH$4, "BETA_OVERRIDE_PERIOD=D")</f>
        <v>0.43978706822730484</v>
      </c>
      <c r="AI5" s="1" cm="1">
        <f t="array" ref="AI5">_xll.BDP($A5, "BETA_ADJ_OVERRIDABLE", "BETA_OVERRIDE_START_DT", _xll.BADDPERIODS(_xll.BTODAY(),"NUMBEROFPERIODS=-1","PER=Y"), "BETA_OVERRIDE_END_DT", _xll.BTODAY(), AI$4, "BETA_OVERRIDE_PERIOD=D")</f>
        <v>0.40437757800640084</v>
      </c>
      <c r="AJ5" s="1" cm="1">
        <f t="array" ref="AJ5">_xll.BDP($A5, "BETA_ADJ_OVERRIDABLE", "BETA_OVERRIDE_START_DT", _xll.BADDPERIODS(_xll.BTODAY(),"NUMBEROFPERIODS=-1","PER=Y"), "BETA_OVERRIDE_END_DT", _xll.BTODAY(), AJ$4, "BETA_OVERRIDE_PERIOD=D")</f>
        <v>0.41958280513829749</v>
      </c>
      <c r="AK5" s="1" cm="1">
        <f t="array" ref="AK5">_xll.BDP($A5, "BETA_ADJ_OVERRIDABLE", "BETA_OVERRIDE_START_DT", _xll.BADDPERIODS(_xll.BTODAY(),"NUMBEROFPERIODS=-1","PER=Y"), "BETA_OVERRIDE_END_DT", _xll.BTODAY(), AK$4, "BETA_OVERRIDE_PERIOD=D")</f>
        <v>0.70403080567264464</v>
      </c>
      <c r="AL5" s="1" cm="1">
        <f t="array" ref="AL5">_xll.BDP($A5, "BETA_ADJ_OVERRIDABLE", "BETA_OVERRIDE_START_DT", _xll.BADDPERIODS(_xll.BTODAY(),"NUMBEROFPERIODS=-1","PER=Y"), "BETA_OVERRIDE_END_DT", _xll.BTODAY(), AL$4, "BETA_OVERRIDE_PERIOD=D")</f>
        <v>0.83155419380616513</v>
      </c>
      <c r="AM5" s="1" cm="1">
        <f t="array" ref="AM5">_xll.BDP($A5, "BETA_ADJ_OVERRIDABLE", "BETA_OVERRIDE_START_DT", _xll.BADDPERIODS(_xll.BTODAY(),"NUMBEROFPERIODS=-1","PER=Y"), "BETA_OVERRIDE_END_DT", _xll.BTODAY(), AM$4, "BETA_OVERRIDE_PERIOD=D")</f>
        <v>0.73707959758260133</v>
      </c>
    </row>
    <row r="6" spans="1:39" x14ac:dyDescent="0.25">
      <c r="A6" t="s">
        <v>43</v>
      </c>
      <c r="B6" s="1" cm="1">
        <f t="array" ref="B6">_xll.BDP($A6, "BETA_ADJ_OVERRIDABLE", "BETA_OVERRIDE_START_DT", _xll.BADDPERIODS(_xll.BTODAY(),"NUMBEROFPERIODS=-5","PER=Y"), "BETA_OVERRIDE_END_DT", _xll.BTODAY(), B$4, "BETA_OVERRIDE_PERIOD=M")</f>
        <v>0.95354989366140874</v>
      </c>
      <c r="C6" s="1" cm="1">
        <f t="array" ref="C6">_xll.BDP($A6, "BETA_ADJ_OVERRIDABLE", "BETA_OVERRIDE_START_DT", _xll.BADDPERIODS(_xll.BTODAY(),"NUMBEROFPERIODS=-3","PER=Y"), "BETA_OVERRIDE_END_DT", _xll.BTODAY(), C$4, "BETA_OVERRIDE_PERIOD=W")</f>
        <v>0.9487955566039904</v>
      </c>
      <c r="D6" s="1" cm="1">
        <f t="array" ref="D6">_xll.BDP($A6, "BETA_ADJ_OVERRIDABLE", "BETA_OVERRIDE_START_DT", _xll.BADDPERIODS(_xll.BTODAY(),"NUMBEROFPERIODS=-1","PER=Y"), "BETA_OVERRIDE_END_DT", _xll.BTODAY(), D$4, "BETA_OVERRIDE_PERIOD=D")</f>
        <v>0.92740525336521473</v>
      </c>
      <c r="E6" s="1" cm="1">
        <f t="array" ref="E6">_xll.BDP($A6, "BETA_ADJ_OVERRIDABLE", "BETA_OVERRIDE_START_DT", _xll.BADDPERIODS(_xll.BTODAY(),"NUMBEROFPERIODS=-1","PER=Y"), "BETA_OVERRIDE_END_DT", _xll.BTODAY(), E$4, "BETA_OVERRIDE_PERIOD=D")</f>
        <v>0.81989701840412099</v>
      </c>
      <c r="F6" s="1" cm="1">
        <f t="array" ref="F6">_xll.BDP($A6, "BETA_ADJ_OVERRIDABLE", "BETA_OVERRIDE_START_DT", _xll.BADDPERIODS(_xll.BTODAY(),"NUMBEROFPERIODS=-1","PER=Y"), "BETA_OVERRIDE_END_DT", _xll.BTODAY(), F$4, "BETA_OVERRIDE_PERIOD=D")</f>
        <v>0.75771945998745904</v>
      </c>
      <c r="G6" s="1" cm="1">
        <f t="array" ref="G6">_xll.BDP($A6, "BETA_ADJ_OVERRIDABLE", "BETA_OVERRIDE_START_DT", _xll.BADDPERIODS(_xll.BTODAY(),"NUMBEROFPERIODS=-1","PER=Y"), "BETA_OVERRIDE_END_DT", _xll.BTODAY(), G$4, "BETA_OVERRIDE_PERIOD=D")</f>
        <v>0.79079652683519353</v>
      </c>
      <c r="H6" s="1" cm="1">
        <f t="array" ref="H6">_xll.BDP($A6, "BETA_ADJ_OVERRIDABLE", "BETA_OVERRIDE_START_DT", _xll.BADDPERIODS(_xll.BTODAY(),"NUMBEROFPERIODS=-1","PER=Y"), "BETA_OVERRIDE_END_DT", _xll.BTODAY(), H$4, "BETA_OVERRIDE_PERIOD=D")</f>
        <v>0.9817479804898982</v>
      </c>
      <c r="I6" s="1" cm="1">
        <f t="array" ref="I6">_xll.BDP($A6, "BETA_ADJ_OVERRIDABLE", "BETA_OVERRIDE_START_DT", _xll.BADDPERIODS(_xll.BTODAY(),"NUMBEROFPERIODS=-1","PER=Y"), "BETA_OVERRIDE_END_DT", _xll.BTODAY(), I$4, "BETA_OVERRIDE_PERIOD=D")</f>
        <v>0.78679709307344181</v>
      </c>
      <c r="J6" s="1" cm="1">
        <f t="array" ref="J6">_xll.BDP($A6, "BETA_ADJ_OVERRIDABLE", "BETA_OVERRIDE_START_DT", _xll.BADDPERIODS(_xll.BTODAY(),"NUMBEROFPERIODS=-1","PER=Y"), "BETA_OVERRIDE_END_DT", _xll.BTODAY(), J$4, "BETA_OVERRIDE_PERIOD=D")</f>
        <v>0.50344946579943328</v>
      </c>
      <c r="K6" s="1" cm="1">
        <f t="array" ref="K6">_xll.BDP($A6, "BETA_ADJ_OVERRIDABLE", "BETA_OVERRIDE_START_DT", _xll.BADDPERIODS(_xll.BTODAY(),"NUMBEROFPERIODS=-1","PER=Y"), "BETA_OVERRIDE_END_DT", _xll.BTODAY(), K$4, "BETA_OVERRIDE_PERIOD=D")</f>
        <v>0.48554463727843744</v>
      </c>
      <c r="L6" s="1" cm="1">
        <f t="array" ref="L6">_xll.BDP($A6, "BETA_ADJ_OVERRIDABLE", "BETA_OVERRIDE_START_DT", _xll.BADDPERIODS(_xll.BTODAY(),"NUMBEROFPERIODS=-1","PER=Y"), "BETA_OVERRIDE_END_DT", _xll.BTODAY(), L$4, "BETA_OVERRIDE_PERIOD=D")</f>
        <v>1.0724727197333739</v>
      </c>
      <c r="M6" s="1" cm="1">
        <f t="array" ref="M6">_xll.BDP($A6, "BETA_ADJ_OVERRIDABLE", "BETA_OVERRIDE_START_DT", _xll.BADDPERIODS(_xll.BTODAY(),"NUMBEROFPERIODS=-1","PER=Y"), "BETA_OVERRIDE_END_DT", _xll.BTODAY(), M$4, "BETA_OVERRIDE_PERIOD=D")</f>
        <v>0.48044482006562683</v>
      </c>
      <c r="N6" s="1" cm="1">
        <f t="array" ref="N6">_xll.BDP($A6, "BETA_ADJ_OVERRIDABLE", "BETA_OVERRIDE_START_DT", _xll.BADDPERIODS(_xll.BTODAY(),"NUMBEROFPERIODS=-1","PER=Y"), "BETA_OVERRIDE_END_DT", _xll.BTODAY(), N$4, "BETA_OVERRIDE_PERIOD=D")</f>
        <v>0.33958222248859155</v>
      </c>
      <c r="O6" s="1" cm="1">
        <f t="array" ref="O6">_xll.BDP($A6, "BETA_ADJ_OVERRIDABLE", "BETA_OVERRIDE_START_DT", _xll.BADDPERIODS(_xll.BTODAY(),"NUMBEROFPERIODS=-1","PER=Y"), "BETA_OVERRIDE_END_DT", _xll.BTODAY(), O$4, "BETA_OVERRIDE_PERIOD=D")</f>
        <v>0.25463062947957449</v>
      </c>
      <c r="P6" s="1" cm="1">
        <f t="array" ref="P6">_xll.BDP($A6, "BETA_ADJ_OVERRIDABLE", "BETA_OVERRIDE_START_DT", _xll.BADDPERIODS(_xll.BTODAY(),"NUMBEROFPERIODS=-1","PER=Y"), "BETA_OVERRIDE_END_DT", _xll.BTODAY(), P$4, "BETA_OVERRIDE_PERIOD=D")</f>
        <v>0.78005813785016986</v>
      </c>
      <c r="Q6" s="1" cm="1">
        <f t="array" ref="Q6">_xll.BDP($A6, "BETA_ADJ_OVERRIDABLE", "BETA_OVERRIDE_START_DT", _xll.BADDPERIODS(_xll.BTODAY(),"NUMBEROFPERIODS=-1","PER=Y"), "BETA_OVERRIDE_END_DT", _xll.BTODAY(), Q$4, "BETA_OVERRIDE_PERIOD=D")</f>
        <v>2.7595752764510588</v>
      </c>
      <c r="R6" s="1" cm="1">
        <f t="array" ref="R6">_xll.BDP($A6, "BETA_ADJ_OVERRIDABLE", "BETA_OVERRIDE_START_DT", _xll.BADDPERIODS(_xll.BTODAY(),"NUMBEROFPERIODS=-1","PER=Y"), "BETA_OVERRIDE_END_DT", _xll.BTODAY(), R$4, "BETA_OVERRIDE_PERIOD=D")</f>
        <v>0.39767456089702224</v>
      </c>
      <c r="S6" s="1" cm="1">
        <f t="array" ref="S6">_xll.BDP($A6, "BETA_ADJ_OVERRIDABLE", "BETA_OVERRIDE_START_DT", _xll.BADDPERIODS(_xll.BTODAY(),"NUMBEROFPERIODS=-1","PER=Y"), "BETA_OVERRIDE_END_DT", _xll.BTODAY(), S$4, "BETA_OVERRIDE_PERIOD=D")</f>
        <v>0.86652269024924411</v>
      </c>
      <c r="T6" s="1" cm="1">
        <f t="array" ref="T6">_xll.BDP($A6, "BETA_ADJ_OVERRIDABLE", "BETA_OVERRIDE_START_DT", _xll.BADDPERIODS(_xll.BTODAY(),"NUMBEROFPERIODS=-1","PER=Y"), "BETA_OVERRIDE_END_DT", _xll.BTODAY(), T$4, "BETA_OVERRIDE_PERIOD=D")</f>
        <v>0.6644858442183792</v>
      </c>
      <c r="U6" s="1" cm="1">
        <f t="array" ref="U6">_xll.BDP($A6, "BETA_ADJ_OVERRIDABLE", "BETA_OVERRIDE_START_DT", _xll.BADDPERIODS(_xll.BTODAY(),"NUMBEROFPERIODS=-1","PER=Y"), "BETA_OVERRIDE_END_DT", _xll.BTODAY(), U$4, "BETA_OVERRIDE_PERIOD=D")</f>
        <v>0.33958222248859155</v>
      </c>
      <c r="V6" s="1" cm="1">
        <f t="array" ref="V6">_xll.BDP($A6, "BETA_ADJ_OVERRIDABLE", "BETA_OVERRIDE_START_DT", _xll.BADDPERIODS(_xll.BTODAY(),"NUMBEROFPERIODS=-1","PER=Y"), "BETA_OVERRIDE_END_DT", _xll.BTODAY(), V$4, "BETA_OVERRIDE_PERIOD=D")</f>
        <v>0.41110431933366259</v>
      </c>
      <c r="W6" s="1" cm="1">
        <f t="array" ref="W6">_xll.BDP($A6, "BETA_ADJ_OVERRIDABLE", "BETA_OVERRIDE_START_DT", _xll.BADDPERIODS(_xll.BTODAY(),"NUMBEROFPERIODS=-1","PER=Y"), "BETA_OVERRIDE_END_DT", _xll.BTODAY(), W$4, "BETA_OVERRIDE_PERIOD=D")</f>
        <v>0.42549198685148498</v>
      </c>
      <c r="X6" s="1" cm="1">
        <f t="array" ref="X6">_xll.BDP($A6, "BETA_ADJ_OVERRIDABLE", "BETA_OVERRIDE_START_DT", _xll.BADDPERIODS(_xll.BTODAY(),"NUMBEROFPERIODS=-1","PER=Y"), "BETA_OVERRIDE_END_DT", _xll.BTODAY(), X$4, "BETA_OVERRIDE_PERIOD=D")</f>
        <v>0.40156019741724092</v>
      </c>
      <c r="Y6" s="1" cm="1">
        <f t="array" ref="Y6">_xll.BDP($A6, "BETA_ADJ_OVERRIDABLE", "BETA_OVERRIDE_START_DT", _xll.BADDPERIODS(_xll.BTODAY(),"NUMBEROFPERIODS=-1","PER=Y"), "BETA_OVERRIDE_END_DT", _xll.BTODAY(), Y$4, "BETA_OVERRIDE_PERIOD=D")</f>
        <v>0.4073164736189393</v>
      </c>
      <c r="Z6" s="1" cm="1">
        <f t="array" ref="Z6">_xll.BDP($A6, "BETA_ADJ_OVERRIDABLE", "BETA_OVERRIDE_START_DT", _xll.BADDPERIODS(_xll.BTODAY(),"NUMBEROFPERIODS=-1","PER=Y"), "BETA_OVERRIDE_END_DT", _xll.BTODAY(), Z$4, "BETA_OVERRIDE_PERIOD=D")</f>
        <v>0.636391119367542</v>
      </c>
      <c r="AA6" s="1" cm="1">
        <f t="array" ref="AA6">_xll.BDP($A6, "BETA_ADJ_OVERRIDABLE", "BETA_OVERRIDE_START_DT", _xll.BADDPERIODS(_xll.BTODAY(),"NUMBEROFPERIODS=-1","PER=Y"), "BETA_OVERRIDE_END_DT", _xll.BTODAY(), AA$4, "BETA_OVERRIDE_PERIOD=D")</f>
        <v>0.53572303888047812</v>
      </c>
      <c r="AB6" s="1" cm="1">
        <f t="array" ref="AB6">_xll.BDP($A6, "BETA_ADJ_OVERRIDABLE", "BETA_OVERRIDE_START_DT", _xll.BADDPERIODS(_xll.BTODAY(),"NUMBEROFPERIODS=-1","PER=Y"), "BETA_OVERRIDE_END_DT", _xll.BTODAY(), AB$4, "BETA_OVERRIDE_PERIOD=D")</f>
        <v>0.28083545418540318</v>
      </c>
      <c r="AC6" s="1" cm="1">
        <f t="array" ref="AC6">_xll.BDP($A6, "BETA_ADJ_OVERRIDABLE", "BETA_OVERRIDE_START_DT", _xll.BADDPERIODS(_xll.BTODAY(),"NUMBEROFPERIODS=-1","PER=Y"), "BETA_OVERRIDE_END_DT", _xll.BTODAY(), AC$4, "BETA_OVERRIDE_PERIOD=D")</f>
        <v>0.33661547103390843</v>
      </c>
      <c r="AD6" s="1" cm="1">
        <f t="array" ref="AD6">_xll.BDP($A6, "BETA_ADJ_OVERRIDABLE", "BETA_OVERRIDE_START_DT", _xll.BADDPERIODS(_xll.BTODAY(),"NUMBEROFPERIODS=-1","PER=Y"), "BETA_OVERRIDE_END_DT", _xll.BTODAY(), AD$4, "BETA_OVERRIDE_PERIOD=D")</f>
        <v>0.53136166212536573</v>
      </c>
      <c r="AE6" s="1" cm="1">
        <f t="array" ref="AE6">_xll.BDP($A6, "BETA_ADJ_OVERRIDABLE", "BETA_OVERRIDE_START_DT", _xll.BADDPERIODS(_xll.BTODAY(),"NUMBEROFPERIODS=-1","PER=Y"), "BETA_OVERRIDE_END_DT", _xll.BTODAY(), AE$4, "BETA_OVERRIDE_PERIOD=D")</f>
        <v>0.68409617189188099</v>
      </c>
      <c r="AF6" s="1" cm="1">
        <f t="array" ref="AF6">_xll.BDP($A6, "BETA_ADJ_OVERRIDABLE", "BETA_OVERRIDE_START_DT", _xll.BADDPERIODS(_xll.BTODAY(),"NUMBEROFPERIODS=-1","PER=Y"), "BETA_OVERRIDE_END_DT", _xll.BTODAY(), AF$4, "BETA_OVERRIDE_PERIOD=D")</f>
        <v>-0.18560788027369168</v>
      </c>
      <c r="AG6" s="1" cm="1">
        <f t="array" ref="AG6">_xll.BDP($A6, "BETA_ADJ_OVERRIDABLE", "BETA_OVERRIDE_START_DT", _xll.BADDPERIODS(_xll.BTODAY(),"NUMBEROFPERIODS=-1","PER=Y"), "BETA_OVERRIDE_END_DT", _xll.BTODAY(), AG$4, "BETA_OVERRIDE_PERIOD=D")</f>
        <v>0.19940980111468307</v>
      </c>
      <c r="AH6" s="1" cm="1">
        <f t="array" ref="AH6">_xll.BDP($A6, "BETA_ADJ_OVERRIDABLE", "BETA_OVERRIDE_START_DT", _xll.BADDPERIODS(_xll.BTODAY(),"NUMBEROFPERIODS=-1","PER=Y"), "BETA_OVERRIDE_END_DT", _xll.BTODAY(), AH$4, "BETA_OVERRIDE_PERIOD=D")</f>
        <v>0.45830461262226446</v>
      </c>
      <c r="AI6" s="1" cm="1">
        <f t="array" ref="AI6">_xll.BDP($A6, "BETA_ADJ_OVERRIDABLE", "BETA_OVERRIDE_START_DT", _xll.BADDPERIODS(_xll.BTODAY(),"NUMBEROFPERIODS=-1","PER=Y"), "BETA_OVERRIDE_END_DT", _xll.BTODAY(), AI$4, "BETA_OVERRIDE_PERIOD=D")</f>
        <v>0.41152149995279336</v>
      </c>
      <c r="AJ6" s="1" cm="1">
        <f t="array" ref="AJ6">_xll.BDP($A6, "BETA_ADJ_OVERRIDABLE", "BETA_OVERRIDE_START_DT", _xll.BADDPERIODS(_xll.BTODAY(),"NUMBEROFPERIODS=-1","PER=Y"), "BETA_OVERRIDE_END_DT", _xll.BTODAY(), AJ$4, "BETA_OVERRIDE_PERIOD=D")</f>
        <v>0.42067602562535122</v>
      </c>
      <c r="AK6" s="1" cm="1">
        <f t="array" ref="AK6">_xll.BDP($A6, "BETA_ADJ_OVERRIDABLE", "BETA_OVERRIDE_START_DT", _xll.BADDPERIODS(_xll.BTODAY(),"NUMBEROFPERIODS=-1","PER=Y"), "BETA_OVERRIDE_END_DT", _xll.BTODAY(), AK$4, "BETA_OVERRIDE_PERIOD=D")</f>
        <v>0.76777998836256101</v>
      </c>
      <c r="AL6" s="1" cm="1">
        <f t="array" ref="AL6">_xll.BDP($A6, "BETA_ADJ_OVERRIDABLE", "BETA_OVERRIDE_START_DT", _xll.BADDPERIODS(_xll.BTODAY(),"NUMBEROFPERIODS=-1","PER=Y"), "BETA_OVERRIDE_END_DT", _xll.BTODAY(), AL$4, "BETA_OVERRIDE_PERIOD=D")</f>
        <v>0.84929212286553324</v>
      </c>
      <c r="AM6" s="1" cm="1">
        <f t="array" ref="AM6">_xll.BDP($A6, "BETA_ADJ_OVERRIDABLE", "BETA_OVERRIDE_START_DT", _xll.BADDPERIODS(_xll.BTODAY(),"NUMBEROFPERIODS=-1","PER=Y"), "BETA_OVERRIDE_END_DT", _xll.BTODAY(), AM$4, "BETA_OVERRIDE_PERIOD=D")</f>
        <v>0.84073455706413791</v>
      </c>
    </row>
    <row r="7" spans="1:39" x14ac:dyDescent="0.25">
      <c r="A7" t="s">
        <v>44</v>
      </c>
      <c r="B7" s="1" cm="1">
        <f t="array" ref="B7">_xll.BDP($A7, "BETA_ADJ_OVERRIDABLE", "BETA_OVERRIDE_START_DT", _xll.BADDPERIODS(_xll.BTODAY(),"NUMBEROFPERIODS=-5","PER=Y"), "BETA_OVERRIDE_END_DT", _xll.BTODAY(), B$4, "BETA_OVERRIDE_PERIOD=M")</f>
        <v>1.0023505415921732</v>
      </c>
      <c r="C7" s="1" cm="1">
        <f t="array" ref="C7">_xll.BDP($A7, "BETA_ADJ_OVERRIDABLE", "BETA_OVERRIDE_START_DT", _xll.BADDPERIODS(_xll.BTODAY(),"NUMBEROFPERIODS=-3","PER=Y"), "BETA_OVERRIDE_END_DT", _xll.BTODAY(), C$4, "BETA_OVERRIDE_PERIOD=W")</f>
        <v>0.82022083873298479</v>
      </c>
      <c r="D7" s="1" cm="1">
        <f t="array" ref="D7">_xll.BDP($A7, "BETA_ADJ_OVERRIDABLE", "BETA_OVERRIDE_START_DT", _xll.BADDPERIODS(_xll.BTODAY(),"NUMBEROFPERIODS=-1","PER=Y"), "BETA_OVERRIDE_END_DT", _xll.BTODAY(), D$4, "BETA_OVERRIDE_PERIOD=D")</f>
        <v>0.69866514796514589</v>
      </c>
      <c r="E7" s="1" cm="1">
        <f t="array" ref="E7">_xll.BDP($A7, "BETA_ADJ_OVERRIDABLE", "BETA_OVERRIDE_START_DT", _xll.BADDPERIODS(_xll.BTODAY(),"NUMBEROFPERIODS=-1","PER=Y"), "BETA_OVERRIDE_END_DT", _xll.BTODAY(), E$4, "BETA_OVERRIDE_PERIOD=D")</f>
        <v>0.65916717277227155</v>
      </c>
      <c r="F7" s="1" cm="1">
        <f t="array" ref="F7">_xll.BDP($A7, "BETA_ADJ_OVERRIDABLE", "BETA_OVERRIDE_START_DT", _xll.BADDPERIODS(_xll.BTODAY(),"NUMBEROFPERIODS=-1","PER=Y"), "BETA_OVERRIDE_END_DT", _xll.BTODAY(), F$4, "BETA_OVERRIDE_PERIOD=D")</f>
        <v>0.67567285045768832</v>
      </c>
      <c r="G7" s="1" cm="1">
        <f t="array" ref="G7">_xll.BDP($A7, "BETA_ADJ_OVERRIDABLE", "BETA_OVERRIDE_START_DT", _xll.BADDPERIODS(_xll.BTODAY(),"NUMBEROFPERIODS=-1","PER=Y"), "BETA_OVERRIDE_END_DT", _xll.BTODAY(), G$4, "BETA_OVERRIDE_PERIOD=D")</f>
        <v>0.63808232397060949</v>
      </c>
      <c r="H7" s="1" cm="1">
        <f t="array" ref="H7">_xll.BDP($A7, "BETA_ADJ_OVERRIDABLE", "BETA_OVERRIDE_START_DT", _xll.BADDPERIODS(_xll.BTODAY(),"NUMBEROFPERIODS=-1","PER=Y"), "BETA_OVERRIDE_END_DT", _xll.BTODAY(), H$4, "BETA_OVERRIDE_PERIOD=D")</f>
        <v>0.70003829290735986</v>
      </c>
      <c r="I7" s="1" cm="1">
        <f t="array" ref="I7">_xll.BDP($A7, "BETA_ADJ_OVERRIDABLE", "BETA_OVERRIDE_START_DT", _xll.BADDPERIODS(_xll.BTODAY(),"NUMBEROFPERIODS=-1","PER=Y"), "BETA_OVERRIDE_END_DT", _xll.BTODAY(), I$4, "BETA_OVERRIDE_PERIOD=D")</f>
        <v>0.63731851300189546</v>
      </c>
      <c r="J7" s="1" cm="1">
        <f t="array" ref="J7">_xll.BDP($A7, "BETA_ADJ_OVERRIDABLE", "BETA_OVERRIDE_START_DT", _xll.BADDPERIODS(_xll.BTODAY(),"NUMBEROFPERIODS=-1","PER=Y"), "BETA_OVERRIDE_END_DT", _xll.BTODAY(), J$4, "BETA_OVERRIDE_PERIOD=D")</f>
        <v>0.48649411169442491</v>
      </c>
      <c r="K7" s="1" cm="1">
        <f t="array" ref="K7">_xll.BDP($A7, "BETA_ADJ_OVERRIDABLE", "BETA_OVERRIDE_START_DT", _xll.BADDPERIODS(_xll.BTODAY(),"NUMBEROFPERIODS=-1","PER=Y"), "BETA_OVERRIDE_END_DT", _xll.BTODAY(), K$4, "BETA_OVERRIDE_PERIOD=D")</f>
        <v>0.47814609967788169</v>
      </c>
      <c r="L7" s="1" cm="1">
        <f t="array" ref="L7">_xll.BDP($A7, "BETA_ADJ_OVERRIDABLE", "BETA_OVERRIDE_START_DT", _xll.BADDPERIODS(_xll.BTODAY(),"NUMBEROFPERIODS=-1","PER=Y"), "BETA_OVERRIDE_END_DT", _xll.BTODAY(), L$4, "BETA_OVERRIDE_PERIOD=D")</f>
        <v>0.8060014615316673</v>
      </c>
      <c r="M7" s="1" cm="1">
        <f t="array" ref="M7">_xll.BDP($A7, "BETA_ADJ_OVERRIDABLE", "BETA_OVERRIDE_START_DT", _xll.BADDPERIODS(_xll.BTODAY(),"NUMBEROFPERIODS=-1","PER=Y"), "BETA_OVERRIDE_END_DT", _xll.BTODAY(), M$4, "BETA_OVERRIDE_PERIOD=D")</f>
        <v>0.39842236392960106</v>
      </c>
      <c r="N7" s="1" cm="1">
        <f t="array" ref="N7">_xll.BDP($A7, "BETA_ADJ_OVERRIDABLE", "BETA_OVERRIDE_START_DT", _xll.BADDPERIODS(_xll.BTODAY(),"NUMBEROFPERIODS=-1","PER=Y"), "BETA_OVERRIDE_END_DT", _xll.BTODAY(), N$4, "BETA_OVERRIDE_PERIOD=D")</f>
        <v>0.33845355124331461</v>
      </c>
      <c r="O7" s="1" cm="1">
        <f t="array" ref="O7">_xll.BDP($A7, "BETA_ADJ_OVERRIDABLE", "BETA_OVERRIDE_START_DT", _xll.BADDPERIODS(_xll.BTODAY(),"NUMBEROFPERIODS=-1","PER=Y"), "BETA_OVERRIDE_END_DT", _xll.BTODAY(), O$4, "BETA_OVERRIDE_PERIOD=D")</f>
        <v>0.2660311423740449</v>
      </c>
      <c r="P7" s="1" cm="1">
        <f t="array" ref="P7">_xll.BDP($A7, "BETA_ADJ_OVERRIDABLE", "BETA_OVERRIDE_START_DT", _xll.BADDPERIODS(_xll.BTODAY(),"NUMBEROFPERIODS=-1","PER=Y"), "BETA_OVERRIDE_END_DT", _xll.BTODAY(), P$4, "BETA_OVERRIDE_PERIOD=D")</f>
        <v>0.60302220227741732</v>
      </c>
      <c r="Q7" s="1" cm="1">
        <f t="array" ref="Q7">_xll.BDP($A7, "BETA_ADJ_OVERRIDABLE", "BETA_OVERRIDE_START_DT", _xll.BADDPERIODS(_xll.BTODAY(),"NUMBEROFPERIODS=-1","PER=Y"), "BETA_OVERRIDE_END_DT", _xll.BTODAY(), Q$4, "BETA_OVERRIDE_PERIOD=D")</f>
        <v>1.7068881064376926</v>
      </c>
      <c r="R7" s="1" cm="1">
        <f t="array" ref="R7">_xll.BDP($A7, "BETA_ADJ_OVERRIDABLE", "BETA_OVERRIDE_START_DT", _xll.BADDPERIODS(_xll.BTODAY(),"NUMBEROFPERIODS=-1","PER=Y"), "BETA_OVERRIDE_END_DT", _xll.BTODAY(), R$4, "BETA_OVERRIDE_PERIOD=D")</f>
        <v>0.41347394446041558</v>
      </c>
      <c r="S7" s="1" cm="1">
        <f t="array" ref="S7">_xll.BDP($A7, "BETA_ADJ_OVERRIDABLE", "BETA_OVERRIDE_START_DT", _xll.BADDPERIODS(_xll.BTODAY(),"NUMBEROFPERIODS=-1","PER=Y"), "BETA_OVERRIDE_END_DT", _xll.BTODAY(), S$4, "BETA_OVERRIDE_PERIOD=D")</f>
        <v>0.85216017392878318</v>
      </c>
      <c r="T7" s="1" cm="1">
        <f t="array" ref="T7">_xll.BDP($A7, "BETA_ADJ_OVERRIDABLE", "BETA_OVERRIDE_START_DT", _xll.BADDPERIODS(_xll.BTODAY(),"NUMBEROFPERIODS=-1","PER=Y"), "BETA_OVERRIDE_END_DT", _xll.BTODAY(), T$4, "BETA_OVERRIDE_PERIOD=D")</f>
        <v>0.49746614268472689</v>
      </c>
      <c r="U7" s="1" cm="1">
        <f t="array" ref="U7">_xll.BDP($A7, "BETA_ADJ_OVERRIDABLE", "BETA_OVERRIDE_START_DT", _xll.BADDPERIODS(_xll.BTODAY(),"NUMBEROFPERIODS=-1","PER=Y"), "BETA_OVERRIDE_END_DT", _xll.BTODAY(), U$4, "BETA_OVERRIDE_PERIOD=D")</f>
        <v>0.33845355124331461</v>
      </c>
      <c r="V7" s="1" cm="1">
        <f t="array" ref="V7">_xll.BDP($A7, "BETA_ADJ_OVERRIDABLE", "BETA_OVERRIDE_START_DT", _xll.BADDPERIODS(_xll.BTODAY(),"NUMBEROFPERIODS=-1","PER=Y"), "BETA_OVERRIDE_END_DT", _xll.BTODAY(), V$4, "BETA_OVERRIDE_PERIOD=D")</f>
        <v>0.29596289268325743</v>
      </c>
      <c r="W7" s="1" cm="1">
        <f t="array" ref="W7">_xll.BDP($A7, "BETA_ADJ_OVERRIDABLE", "BETA_OVERRIDE_START_DT", _xll.BADDPERIODS(_xll.BTODAY(),"NUMBEROFPERIODS=-1","PER=Y"), "BETA_OVERRIDE_END_DT", _xll.BTODAY(), W$4, "BETA_OVERRIDE_PERIOD=D")</f>
        <v>0.30920828810058076</v>
      </c>
      <c r="X7" s="1" cm="1">
        <f t="array" ref="X7">_xll.BDP($A7, "BETA_ADJ_OVERRIDABLE", "BETA_OVERRIDE_START_DT", _xll.BADDPERIODS(_xll.BTODAY(),"NUMBEROFPERIODS=-1","PER=Y"), "BETA_OVERRIDE_END_DT", _xll.BTODAY(), X$4, "BETA_OVERRIDE_PERIOD=D")</f>
        <v>0.37203021183646506</v>
      </c>
      <c r="Y7" s="1" cm="1">
        <f t="array" ref="Y7">_xll.BDP($A7, "BETA_ADJ_OVERRIDABLE", "BETA_OVERRIDE_START_DT", _xll.BADDPERIODS(_xll.BTODAY(),"NUMBEROFPERIODS=-1","PER=Y"), "BETA_OVERRIDE_END_DT", _xll.BTODAY(), Y$4, "BETA_OVERRIDE_PERIOD=D")</f>
        <v>0.34951009766141744</v>
      </c>
      <c r="Z7" s="1" cm="1">
        <f t="array" ref="Z7">_xll.BDP($A7, "BETA_ADJ_OVERRIDABLE", "BETA_OVERRIDE_START_DT", _xll.BADDPERIODS(_xll.BTODAY(),"NUMBEROFPERIODS=-1","PER=Y"), "BETA_OVERRIDE_END_DT", _xll.BTODAY(), Z$4, "BETA_OVERRIDE_PERIOD=D")</f>
        <v>0.37556101649879431</v>
      </c>
      <c r="AA7" s="1" cm="1">
        <f t="array" ref="AA7">_xll.BDP($A7, "BETA_ADJ_OVERRIDABLE", "BETA_OVERRIDE_START_DT", _xll.BADDPERIODS(_xll.BTODAY(),"NUMBEROFPERIODS=-1","PER=Y"), "BETA_OVERRIDE_END_DT", _xll.BTODAY(), AA$4, "BETA_OVERRIDE_PERIOD=D")</f>
        <v>0.51793774374461699</v>
      </c>
      <c r="AB7" s="1" cm="1">
        <f t="array" ref="AB7">_xll.BDP($A7, "BETA_ADJ_OVERRIDABLE", "BETA_OVERRIDE_START_DT", _xll.BADDPERIODS(_xll.BTODAY(),"NUMBEROFPERIODS=-1","PER=Y"), "BETA_OVERRIDE_END_DT", _xll.BTODAY(), AB$4, "BETA_OVERRIDE_PERIOD=D")</f>
        <v>0.27364669868471536</v>
      </c>
      <c r="AC7" s="1" cm="1">
        <f t="array" ref="AC7">_xll.BDP($A7, "BETA_ADJ_OVERRIDABLE", "BETA_OVERRIDE_START_DT", _xll.BADDPERIODS(_xll.BTODAY(),"NUMBEROFPERIODS=-1","PER=Y"), "BETA_OVERRIDE_END_DT", _xll.BTODAY(), AC$4, "BETA_OVERRIDE_PERIOD=D")</f>
        <v>0.35722297425382787</v>
      </c>
      <c r="AD7" s="1" cm="1">
        <f t="array" ref="AD7">_xll.BDP($A7, "BETA_ADJ_OVERRIDABLE", "BETA_OVERRIDE_START_DT", _xll.BADDPERIODS(_xll.BTODAY(),"NUMBEROFPERIODS=-1","PER=Y"), "BETA_OVERRIDE_END_DT", _xll.BTODAY(), AD$4, "BETA_OVERRIDE_PERIOD=D")</f>
        <v>0.48494838652355837</v>
      </c>
      <c r="AE7" s="1" cm="1">
        <f t="array" ref="AE7">_xll.BDP($A7, "BETA_ADJ_OVERRIDABLE", "BETA_OVERRIDE_START_DT", _xll.BADDPERIODS(_xll.BTODAY(),"NUMBEROFPERIODS=-1","PER=Y"), "BETA_OVERRIDE_END_DT", _xll.BTODAY(), AE$4, "BETA_OVERRIDE_PERIOD=D")</f>
        <v>0.42549475150624372</v>
      </c>
      <c r="AF7" s="1" cm="1">
        <f t="array" ref="AF7">_xll.BDP($A7, "BETA_ADJ_OVERRIDABLE", "BETA_OVERRIDE_START_DT", _xll.BADDPERIODS(_xll.BTODAY(),"NUMBEROFPERIODS=-1","PER=Y"), "BETA_OVERRIDE_END_DT", _xll.BTODAY(), AF$4, "BETA_OVERRIDE_PERIOD=D")</f>
        <v>0.44983948743973529</v>
      </c>
      <c r="AG7" s="1" cm="1">
        <f t="array" ref="AG7">_xll.BDP($A7, "BETA_ADJ_OVERRIDABLE", "BETA_OVERRIDE_START_DT", _xll.BADDPERIODS(_xll.BTODAY(),"NUMBEROFPERIODS=-1","PER=Y"), "BETA_OVERRIDE_END_DT", _xll.BTODAY(), AG$4, "BETA_OVERRIDE_PERIOD=D")</f>
        <v>0.54075952248777337</v>
      </c>
      <c r="AH7" s="1" cm="1">
        <f t="array" ref="AH7">_xll.BDP($A7, "BETA_ADJ_OVERRIDABLE", "BETA_OVERRIDE_START_DT", _xll.BADDPERIODS(_xll.BTODAY(),"NUMBEROFPERIODS=-1","PER=Y"), "BETA_OVERRIDE_END_DT", _xll.BTODAY(), AH$4, "BETA_OVERRIDE_PERIOD=D")</f>
        <v>0.46848247842201551</v>
      </c>
      <c r="AI7" s="1" cm="1">
        <f t="array" ref="AI7">_xll.BDP($A7, "BETA_ADJ_OVERRIDABLE", "BETA_OVERRIDE_START_DT", _xll.BADDPERIODS(_xll.BTODAY(),"NUMBEROFPERIODS=-1","PER=Y"), "BETA_OVERRIDE_END_DT", _xll.BTODAY(), AI$4, "BETA_OVERRIDE_PERIOD=D")</f>
        <v>0.40612809220543528</v>
      </c>
      <c r="AJ7" s="1" cm="1">
        <f t="array" ref="AJ7">_xll.BDP($A7, "BETA_ADJ_OVERRIDABLE", "BETA_OVERRIDE_START_DT", _xll.BADDPERIODS(_xll.BTODAY(),"NUMBEROFPERIODS=-1","PER=Y"), "BETA_OVERRIDE_END_DT", _xll.BTODAY(), AJ$4, "BETA_OVERRIDE_PERIOD=D")</f>
        <v>0.43173189839325865</v>
      </c>
      <c r="AK7" s="1" cm="1">
        <f t="array" ref="AK7">_xll.BDP($A7, "BETA_ADJ_OVERRIDABLE", "BETA_OVERRIDE_START_DT", _xll.BADDPERIODS(_xll.BTODAY(),"NUMBEROFPERIODS=-1","PER=Y"), "BETA_OVERRIDE_END_DT", _xll.BTODAY(), AK$4, "BETA_OVERRIDE_PERIOD=D")</f>
        <v>0.56699880400827751</v>
      </c>
      <c r="AL7" s="1" cm="1">
        <f t="array" ref="AL7">_xll.BDP($A7, "BETA_ADJ_OVERRIDABLE", "BETA_OVERRIDE_START_DT", _xll.BADDPERIODS(_xll.BTODAY(),"NUMBEROFPERIODS=-1","PER=Y"), "BETA_OVERRIDE_END_DT", _xll.BTODAY(), AL$4, "BETA_OVERRIDE_PERIOD=D")</f>
        <v>0.64668464314535101</v>
      </c>
      <c r="AM7" s="1" cm="1">
        <f t="array" ref="AM7">_xll.BDP($A7, "BETA_ADJ_OVERRIDABLE", "BETA_OVERRIDE_START_DT", _xll.BADDPERIODS(_xll.BTODAY(),"NUMBEROFPERIODS=-1","PER=Y"), "BETA_OVERRIDE_END_DT", _xll.BTODAY(), AM$4, "BETA_OVERRIDE_PERIOD=D")</f>
        <v>0.72683063744543364</v>
      </c>
    </row>
    <row r="8" spans="1:39" x14ac:dyDescent="0.25">
      <c r="A8" t="s">
        <v>45</v>
      </c>
      <c r="B8" s="1" cm="1">
        <f t="array" ref="B8">_xll.BDP($A8, "BETA_ADJ_OVERRIDABLE", "BETA_OVERRIDE_START_DT", _xll.BADDPERIODS(_xll.BTODAY(),"NUMBEROFPERIODS=-5","PER=Y"), "BETA_OVERRIDE_END_DT", _xll.BTODAY(), B$4, "BETA_OVERRIDE_PERIOD=M")</f>
        <v>0.50432822600004257</v>
      </c>
      <c r="C8" s="1" cm="1">
        <f t="array" ref="C8">_xll.BDP($A8, "BETA_ADJ_OVERRIDABLE", "BETA_OVERRIDE_START_DT", _xll.BADDPERIODS(_xll.BTODAY(),"NUMBEROFPERIODS=-3","PER=Y"), "BETA_OVERRIDE_END_DT", _xll.BTODAY(), C$4, "BETA_OVERRIDE_PERIOD=W")</f>
        <v>0.39500136905921474</v>
      </c>
      <c r="D8" s="1" cm="1">
        <f t="array" ref="D8">_xll.BDP($A8, "BETA_ADJ_OVERRIDABLE", "BETA_OVERRIDE_START_DT", _xll.BADDPERIODS(_xll.BTODAY(),"NUMBEROFPERIODS=-1","PER=Y"), "BETA_OVERRIDE_END_DT", _xll.BTODAY(), D$4, "BETA_OVERRIDE_PERIOD=D")</f>
        <v>0.35316465287889492</v>
      </c>
      <c r="E8" s="1" cm="1">
        <f t="array" ref="E8">_xll.BDP($A8, "BETA_ADJ_OVERRIDABLE", "BETA_OVERRIDE_START_DT", _xll.BADDPERIODS(_xll.BTODAY(),"NUMBEROFPERIODS=-1","PER=Y"), "BETA_OVERRIDE_END_DT", _xll.BTODAY(), E$4, "BETA_OVERRIDE_PERIOD=D")</f>
        <v>0.35831159994218842</v>
      </c>
      <c r="F8" s="1" cm="1">
        <f t="array" ref="F8">_xll.BDP($A8, "BETA_ADJ_OVERRIDABLE", "BETA_OVERRIDE_START_DT", _xll.BADDPERIODS(_xll.BTODAY(),"NUMBEROFPERIODS=-1","PER=Y"), "BETA_OVERRIDE_END_DT", _xll.BTODAY(), F$4, "BETA_OVERRIDE_PERIOD=D")</f>
        <v>0.35637549197991625</v>
      </c>
      <c r="G8" s="1" cm="1">
        <f t="array" ref="G8">_xll.BDP($A8, "BETA_ADJ_OVERRIDABLE", "BETA_OVERRIDE_START_DT", _xll.BADDPERIODS(_xll.BTODAY(),"NUMBEROFPERIODS=-1","PER=Y"), "BETA_OVERRIDE_END_DT", _xll.BTODAY(), G$4, "BETA_OVERRIDE_PERIOD=D")</f>
        <v>0.34249195730837939</v>
      </c>
      <c r="H8" s="1" cm="1">
        <f t="array" ref="H8">_xll.BDP($A8, "BETA_ADJ_OVERRIDABLE", "BETA_OVERRIDE_START_DT", _xll.BADDPERIODS(_xll.BTODAY(),"NUMBEROFPERIODS=-1","PER=Y"), "BETA_OVERRIDE_END_DT", _xll.BTODAY(), H$4, "BETA_OVERRIDE_PERIOD=D")</f>
        <v>0.37118756763051275</v>
      </c>
      <c r="I8" s="1" cm="1">
        <f t="array" ref="I8">_xll.BDP($A8, "BETA_ADJ_OVERRIDABLE", "BETA_OVERRIDE_START_DT", _xll.BADDPERIODS(_xll.BTODAY(),"NUMBEROFPERIODS=-1","PER=Y"), "BETA_OVERRIDE_END_DT", _xll.BTODAY(), I$4, "BETA_OVERRIDE_PERIOD=D")</f>
        <v>0.34286330100811574</v>
      </c>
      <c r="J8" s="1" cm="1">
        <f t="array" ref="J8">_xll.BDP($A8, "BETA_ADJ_OVERRIDABLE", "BETA_OVERRIDE_START_DT", _xll.BADDPERIODS(_xll.BTODAY(),"NUMBEROFPERIODS=-1","PER=Y"), "BETA_OVERRIDE_END_DT", _xll.BTODAY(), J$4, "BETA_OVERRIDE_PERIOD=D")</f>
        <v>0.36934723381489099</v>
      </c>
      <c r="K8" s="1" cm="1">
        <f t="array" ref="K8">_xll.BDP($A8, "BETA_ADJ_OVERRIDABLE", "BETA_OVERRIDE_START_DT", _xll.BADDPERIODS(_xll.BTODAY(),"NUMBEROFPERIODS=-1","PER=Y"), "BETA_OVERRIDE_END_DT", _xll.BTODAY(), K$4, "BETA_OVERRIDE_PERIOD=D")</f>
        <v>0.35200413165283501</v>
      </c>
      <c r="L8" s="1" cm="1">
        <f t="array" ref="L8">_xll.BDP($A8, "BETA_ADJ_OVERRIDABLE", "BETA_OVERRIDE_START_DT", _xll.BADDPERIODS(_xll.BTODAY(),"NUMBEROFPERIODS=-1","PER=Y"), "BETA_OVERRIDE_END_DT", _xll.BTODAY(), L$4, "BETA_OVERRIDE_PERIOD=D")</f>
        <v>0.36266310031288662</v>
      </c>
      <c r="M8" s="1" cm="1">
        <f t="array" ref="M8">_xll.BDP($A8, "BETA_ADJ_OVERRIDABLE", "BETA_OVERRIDE_START_DT", _xll.BADDPERIODS(_xll.BTODAY(),"NUMBEROFPERIODS=-1","PER=Y"), "BETA_OVERRIDE_END_DT", _xll.BTODAY(), M$4, "BETA_OVERRIDE_PERIOD=D")</f>
        <v>0.22033135887552052</v>
      </c>
      <c r="N8" s="1" cm="1">
        <f t="array" ref="N8">_xll.BDP($A8, "BETA_ADJ_OVERRIDABLE", "BETA_OVERRIDE_START_DT", _xll.BADDPERIODS(_xll.BTODAY(),"NUMBEROFPERIODS=-1","PER=Y"), "BETA_OVERRIDE_END_DT", _xll.BTODAY(), N$4, "BETA_OVERRIDE_PERIOD=D")</f>
        <v>0.17407976257904467</v>
      </c>
      <c r="O8" s="1" cm="1">
        <f t="array" ref="O8">_xll.BDP($A8, "BETA_ADJ_OVERRIDABLE", "BETA_OVERRIDE_START_DT", _xll.BADDPERIODS(_xll.BTODAY(),"NUMBEROFPERIODS=-1","PER=Y"), "BETA_OVERRIDE_END_DT", _xll.BTODAY(), O$4, "BETA_OVERRIDE_PERIOD=D")</f>
        <v>1.0392689753418889</v>
      </c>
      <c r="P8" s="1" cm="1">
        <f t="array" ref="P8">_xll.BDP($A8, "BETA_ADJ_OVERRIDABLE", "BETA_OVERRIDE_START_DT", _xll.BADDPERIODS(_xll.BTODAY(),"NUMBEROFPERIODS=-1","PER=Y"), "BETA_OVERRIDE_END_DT", _xll.BTODAY(), P$4, "BETA_OVERRIDE_PERIOD=D")</f>
        <v>0.94674714122920978</v>
      </c>
      <c r="Q8" s="1" cm="1">
        <f t="array" ref="Q8">_xll.BDP($A8, "BETA_ADJ_OVERRIDABLE", "BETA_OVERRIDE_START_DT", _xll.BADDPERIODS(_xll.BTODAY(),"NUMBEROFPERIODS=-1","PER=Y"), "BETA_OVERRIDE_END_DT", _xll.BTODAY(), Q$4, "BETA_OVERRIDE_PERIOD=D")</f>
        <v>0.69518454342713132</v>
      </c>
      <c r="R8" s="1" cm="1">
        <f t="array" ref="R8">_xll.BDP($A8, "BETA_ADJ_OVERRIDABLE", "BETA_OVERRIDE_START_DT", _xll.BADDPERIODS(_xll.BTODAY(),"NUMBEROFPERIODS=-1","PER=Y"), "BETA_OVERRIDE_END_DT", _xll.BTODAY(), R$4, "BETA_OVERRIDE_PERIOD=D")</f>
        <v>0.72939636944530117</v>
      </c>
      <c r="S8" s="1" cm="1">
        <f t="array" ref="S8">_xll.BDP($A8, "BETA_ADJ_OVERRIDABLE", "BETA_OVERRIDE_START_DT", _xll.BADDPERIODS(_xll.BTODAY(),"NUMBEROFPERIODS=-1","PER=Y"), "BETA_OVERRIDE_END_DT", _xll.BTODAY(), S$4, "BETA_OVERRIDE_PERIOD=D")</f>
        <v>0.75051556729431934</v>
      </c>
      <c r="T8" s="1" cm="1">
        <f t="array" ref="T8">_xll.BDP($A8, "BETA_ADJ_OVERRIDABLE", "BETA_OVERRIDE_START_DT", _xll.BADDPERIODS(_xll.BTODAY(),"NUMBEROFPERIODS=-1","PER=Y"), "BETA_OVERRIDE_END_DT", _xll.BTODAY(), T$4, "BETA_OVERRIDE_PERIOD=D")</f>
        <v>0.99556920359563295</v>
      </c>
      <c r="U8" s="1" cm="1">
        <f t="array" ref="U8">_xll.BDP($A8, "BETA_ADJ_OVERRIDABLE", "BETA_OVERRIDE_START_DT", _xll.BADDPERIODS(_xll.BTODAY(),"NUMBEROFPERIODS=-1","PER=Y"), "BETA_OVERRIDE_END_DT", _xll.BTODAY(), U$4, "BETA_OVERRIDE_PERIOD=D")</f>
        <v>0.17407976257904467</v>
      </c>
      <c r="V8" s="1" cm="1">
        <f t="array" ref="V8">_xll.BDP($A8, "BETA_ADJ_OVERRIDABLE", "BETA_OVERRIDE_START_DT", _xll.BADDPERIODS(_xll.BTODAY(),"NUMBEROFPERIODS=-1","PER=Y"), "BETA_OVERRIDE_END_DT", _xll.BTODAY(), V$4, "BETA_OVERRIDE_PERIOD=D")</f>
        <v>0.31308416178925846</v>
      </c>
      <c r="W8" s="1" cm="1">
        <f t="array" ref="W8">_xll.BDP($A8, "BETA_ADJ_OVERRIDABLE", "BETA_OVERRIDE_START_DT", _xll.BADDPERIODS(_xll.BTODAY(),"NUMBEROFPERIODS=-1","PER=Y"), "BETA_OVERRIDE_END_DT", _xll.BTODAY(), W$4, "BETA_OVERRIDE_PERIOD=D")</f>
        <v>0.31589583400489191</v>
      </c>
      <c r="X8" s="1" cm="1">
        <f t="array" ref="X8">_xll.BDP($A8, "BETA_ADJ_OVERRIDABLE", "BETA_OVERRIDE_START_DT", _xll.BADDPERIODS(_xll.BTODAY(),"NUMBEROFPERIODS=-1","PER=Y"), "BETA_OVERRIDE_END_DT", _xll.BTODAY(), X$4, "BETA_OVERRIDE_PERIOD=D")</f>
        <v>0.36262138014279699</v>
      </c>
      <c r="Y8" s="1" cm="1">
        <f t="array" ref="Y8">_xll.BDP($A8, "BETA_ADJ_OVERRIDABLE", "BETA_OVERRIDE_START_DT", _xll.BADDPERIODS(_xll.BTODAY(),"NUMBEROFPERIODS=-1","PER=Y"), "BETA_OVERRIDE_END_DT", _xll.BTODAY(), Y$4, "BETA_OVERRIDE_PERIOD=D")</f>
        <v>0.33739266110637017</v>
      </c>
      <c r="Z8" s="1" cm="1">
        <f t="array" ref="Z8">_xll.BDP($A8, "BETA_ADJ_OVERRIDABLE", "BETA_OVERRIDE_START_DT", _xll.BADDPERIODS(_xll.BTODAY(),"NUMBEROFPERIODS=-1","PER=Y"), "BETA_OVERRIDE_END_DT", _xll.BTODAY(), Z$4, "BETA_OVERRIDE_PERIOD=D")</f>
        <v>0.31708620582237096</v>
      </c>
      <c r="AA8" s="1" cm="1">
        <f t="array" ref="AA8">_xll.BDP($A8, "BETA_ADJ_OVERRIDABLE", "BETA_OVERRIDE_START_DT", _xll.BADDPERIODS(_xll.BTODAY(),"NUMBEROFPERIODS=-1","PER=Y"), "BETA_OVERRIDE_END_DT", _xll.BTODAY(), AA$4, "BETA_OVERRIDE_PERIOD=D")</f>
        <v>0.32655068397542586</v>
      </c>
      <c r="AB8" s="1" cm="1">
        <f t="array" ref="AB8">_xll.BDP($A8, "BETA_ADJ_OVERRIDABLE", "BETA_OVERRIDE_START_DT", _xll.BADDPERIODS(_xll.BTODAY(),"NUMBEROFPERIODS=-1","PER=Y"), "BETA_OVERRIDE_END_DT", _xll.BTODAY(), AB$4, "BETA_OVERRIDE_PERIOD=D")</f>
        <v>0.19013819115465522</v>
      </c>
      <c r="AC8" s="1" cm="1">
        <f t="array" ref="AC8">_xll.BDP($A8, "BETA_ADJ_OVERRIDABLE", "BETA_OVERRIDE_START_DT", _xll.BADDPERIODS(_xll.BTODAY(),"NUMBEROFPERIODS=-1","PER=Y"), "BETA_OVERRIDE_END_DT", _xll.BTODAY(), AC$4, "BETA_OVERRIDE_PERIOD=D")</f>
        <v>0.43751679240559826</v>
      </c>
      <c r="AD8" s="1" cm="1">
        <f t="array" ref="AD8">_xll.BDP($A8, "BETA_ADJ_OVERRIDABLE", "BETA_OVERRIDE_START_DT", _xll.BADDPERIODS(_xll.BTODAY(),"NUMBEROFPERIODS=-1","PER=Y"), "BETA_OVERRIDE_END_DT", _xll.BTODAY(), AD$4, "BETA_OVERRIDE_PERIOD=D")</f>
        <v>0.1938867549796145</v>
      </c>
      <c r="AE8" s="1" cm="1">
        <f t="array" ref="AE8">_xll.BDP($A8, "BETA_ADJ_OVERRIDABLE", "BETA_OVERRIDE_START_DT", _xll.BADDPERIODS(_xll.BTODAY(),"NUMBEROFPERIODS=-1","PER=Y"), "BETA_OVERRIDE_END_DT", _xll.BTODAY(), AE$4, "BETA_OVERRIDE_PERIOD=D")</f>
        <v>0.48505284495816781</v>
      </c>
      <c r="AF8" s="1" cm="1">
        <f t="array" ref="AF8">_xll.BDP($A8, "BETA_ADJ_OVERRIDABLE", "BETA_OVERRIDE_START_DT", _xll.BADDPERIODS(_xll.BTODAY(),"NUMBEROFPERIODS=-1","PER=Y"), "BETA_OVERRIDE_END_DT", _xll.BTODAY(), AF$4, "BETA_OVERRIDE_PERIOD=D")</f>
        <v>9.3592095712872914E-2</v>
      </c>
      <c r="AG8" s="1" cm="1">
        <f t="array" ref="AG8">_xll.BDP($A8, "BETA_ADJ_OVERRIDABLE", "BETA_OVERRIDE_START_DT", _xll.BADDPERIODS(_xll.BTODAY(),"NUMBEROFPERIODS=-1","PER=Y"), "BETA_OVERRIDE_END_DT", _xll.BTODAY(), AG$4, "BETA_OVERRIDE_PERIOD=D")</f>
        <v>0.47830898790765375</v>
      </c>
      <c r="AH8" s="1" cm="1">
        <f t="array" ref="AH8">_xll.BDP($A8, "BETA_ADJ_OVERRIDABLE", "BETA_OVERRIDE_START_DT", _xll.BADDPERIODS(_xll.BTODAY(),"NUMBEROFPERIODS=-1","PER=Y"), "BETA_OVERRIDE_END_DT", _xll.BTODAY(), AH$4, "BETA_OVERRIDE_PERIOD=D")</f>
        <v>0.33155336365716742</v>
      </c>
      <c r="AI8" s="1" cm="1">
        <f t="array" ref="AI8">_xll.BDP($A8, "BETA_ADJ_OVERRIDABLE", "BETA_OVERRIDE_START_DT", _xll.BADDPERIODS(_xll.BTODAY(),"NUMBEROFPERIODS=-1","PER=Y"), "BETA_OVERRIDE_END_DT", _xll.BTODAY(), AI$4, "BETA_OVERRIDE_PERIOD=D")</f>
        <v>0.33723445541536085</v>
      </c>
      <c r="AJ8" s="1" cm="1">
        <f t="array" ref="AJ8">_xll.BDP($A8, "BETA_ADJ_OVERRIDABLE", "BETA_OVERRIDE_START_DT", _xll.BADDPERIODS(_xll.BTODAY(),"NUMBEROFPERIODS=-1","PER=Y"), "BETA_OVERRIDE_END_DT", _xll.BTODAY(), AJ$4, "BETA_OVERRIDE_PERIOD=D")</f>
        <v>0.3368316991063281</v>
      </c>
      <c r="AK8" s="1" cm="1">
        <f t="array" ref="AK8">_xll.BDP($A8, "BETA_ADJ_OVERRIDABLE", "BETA_OVERRIDE_START_DT", _xll.BADDPERIODS(_xll.BTODAY(),"NUMBEROFPERIODS=-1","PER=Y"), "BETA_OVERRIDE_END_DT", _xll.BTODAY(), AK$4, "BETA_OVERRIDE_PERIOD=D")</f>
        <v>0.40459218659057827</v>
      </c>
      <c r="AL8" s="1" cm="1">
        <f t="array" ref="AL8">_xll.BDP($A8, "BETA_ADJ_OVERRIDABLE", "BETA_OVERRIDE_START_DT", _xll.BADDPERIODS(_xll.BTODAY(),"NUMBEROFPERIODS=-1","PER=Y"), "BETA_OVERRIDE_END_DT", _xll.BTODAY(), AL$4, "BETA_OVERRIDE_PERIOD=D")</f>
        <v>0.44170887111650003</v>
      </c>
      <c r="AM8" s="1" cm="1">
        <f t="array" ref="AM8">_xll.BDP($A8, "BETA_ADJ_OVERRIDABLE", "BETA_OVERRIDE_START_DT", _xll.BADDPERIODS(_xll.BTODAY(),"NUMBEROFPERIODS=-1","PER=Y"), "BETA_OVERRIDE_END_DT", _xll.BTODAY(), AM$4, "BETA_OVERRIDE_PERIOD=D")</f>
        <v>0.37226196913432436</v>
      </c>
    </row>
    <row r="9" spans="1:39" x14ac:dyDescent="0.25">
      <c r="A9" t="s">
        <v>46</v>
      </c>
      <c r="B9" s="1" cm="1">
        <f t="array" ref="B9">_xll.BDP($A9, "BETA_ADJ_OVERRIDABLE", "BETA_OVERRIDE_START_DT", _xll.BADDPERIODS(_xll.BTODAY(),"NUMBEROFPERIODS=-5","PER=Y"), "BETA_OVERRIDE_END_DT", _xll.BTODAY(), B$4, "BETA_OVERRIDE_PERIOD=M")</f>
        <v>0.81900882884915549</v>
      </c>
      <c r="C9" s="1" cm="1">
        <f t="array" ref="C9">_xll.BDP($A9, "BETA_ADJ_OVERRIDABLE", "BETA_OVERRIDE_START_DT", _xll.BADDPERIODS(_xll.BTODAY(),"NUMBEROFPERIODS=-3","PER=Y"), "BETA_OVERRIDE_END_DT", _xll.BTODAY(), C$4, "BETA_OVERRIDE_PERIOD=W")</f>
        <v>0.95923233602492597</v>
      </c>
      <c r="D9" s="1" cm="1">
        <f t="array" ref="D9">_xll.BDP($A9, "BETA_ADJ_OVERRIDABLE", "BETA_OVERRIDE_START_DT", _xll.BADDPERIODS(_xll.BTODAY(),"NUMBEROFPERIODS=-1","PER=Y"), "BETA_OVERRIDE_END_DT", _xll.BTODAY(), D$4, "BETA_OVERRIDE_PERIOD=D")</f>
        <v>0.90869292545216829</v>
      </c>
      <c r="E9" s="1" cm="1">
        <f t="array" ref="E9">_xll.BDP($A9, "BETA_ADJ_OVERRIDABLE", "BETA_OVERRIDE_START_DT", _xll.BADDPERIODS(_xll.BTODAY(),"NUMBEROFPERIODS=-1","PER=Y"), "BETA_OVERRIDE_END_DT", _xll.BTODAY(), E$4, "BETA_OVERRIDE_PERIOD=D")</f>
        <v>0.79736794351111151</v>
      </c>
      <c r="F9" s="1" cm="1">
        <f t="array" ref="F9">_xll.BDP($A9, "BETA_ADJ_OVERRIDABLE", "BETA_OVERRIDE_START_DT", _xll.BADDPERIODS(_xll.BTODAY(),"NUMBEROFPERIODS=-1","PER=Y"), "BETA_OVERRIDE_END_DT", _xll.BTODAY(), F$4, "BETA_OVERRIDE_PERIOD=D")</f>
        <v>0.7352533265668677</v>
      </c>
      <c r="G9" s="1" cm="1">
        <f t="array" ref="G9">_xll.BDP($A9, "BETA_ADJ_OVERRIDABLE", "BETA_OVERRIDE_START_DT", _xll.BADDPERIODS(_xll.BTODAY(),"NUMBEROFPERIODS=-1","PER=Y"), "BETA_OVERRIDE_END_DT", _xll.BTODAY(), G$4, "BETA_OVERRIDE_PERIOD=D")</f>
        <v>0.7992960155693698</v>
      </c>
      <c r="H9" s="1" cm="1">
        <f t="array" ref="H9">_xll.BDP($A9, "BETA_ADJ_OVERRIDABLE", "BETA_OVERRIDE_START_DT", _xll.BADDPERIODS(_xll.BTODAY(),"NUMBEROFPERIODS=-1","PER=Y"), "BETA_OVERRIDE_END_DT", _xll.BTODAY(), H$4, "BETA_OVERRIDE_PERIOD=D")</f>
        <v>0.91989920166305861</v>
      </c>
      <c r="I9" s="1" cm="1">
        <f t="array" ref="I9">_xll.BDP($A9, "BETA_ADJ_OVERRIDABLE", "BETA_OVERRIDE_START_DT", _xll.BADDPERIODS(_xll.BTODAY(),"NUMBEROFPERIODS=-1","PER=Y"), "BETA_OVERRIDE_END_DT", _xll.BTODAY(), I$4, "BETA_OVERRIDE_PERIOD=D")</f>
        <v>0.78671193364141934</v>
      </c>
      <c r="J9" s="1" cm="1">
        <f t="array" ref="J9">_xll.BDP($A9, "BETA_ADJ_OVERRIDABLE", "BETA_OVERRIDE_START_DT", _xll.BADDPERIODS(_xll.BTODAY(),"NUMBEROFPERIODS=-1","PER=Y"), "BETA_OVERRIDE_END_DT", _xll.BTODAY(), J$4, "BETA_OVERRIDE_PERIOD=D")</f>
        <v>0.72870554318721592</v>
      </c>
      <c r="K9" s="1" cm="1">
        <f t="array" ref="K9">_xll.BDP($A9, "BETA_ADJ_OVERRIDABLE", "BETA_OVERRIDE_START_DT", _xll.BADDPERIODS(_xll.BTODAY(),"NUMBEROFPERIODS=-1","PER=Y"), "BETA_OVERRIDE_END_DT", _xll.BTODAY(), K$4, "BETA_OVERRIDE_PERIOD=D")</f>
        <v>0.93738661407419399</v>
      </c>
      <c r="L9" s="1" cm="1">
        <f t="array" ref="L9">_xll.BDP($A9, "BETA_ADJ_OVERRIDABLE", "BETA_OVERRIDE_START_DT", _xll.BADDPERIODS(_xll.BTODAY(),"NUMBEROFPERIODS=-1","PER=Y"), "BETA_OVERRIDE_END_DT", _xll.BTODAY(), L$4, "BETA_OVERRIDE_PERIOD=D")</f>
        <v>1.1093928251335998</v>
      </c>
      <c r="M9" s="1" cm="1">
        <f t="array" ref="M9">_xll.BDP($A9, "BETA_ADJ_OVERRIDABLE", "BETA_OVERRIDE_START_DT", _xll.BADDPERIODS(_xll.BTODAY(),"NUMBEROFPERIODS=-1","PER=Y"), "BETA_OVERRIDE_END_DT", _xll.BTODAY(), M$4, "BETA_OVERRIDE_PERIOD=D")</f>
        <v>0.50268169967364151</v>
      </c>
      <c r="N9" s="1" cm="1">
        <f t="array" ref="N9">_xll.BDP($A9, "BETA_ADJ_OVERRIDABLE", "BETA_OVERRIDE_START_DT", _xll.BADDPERIODS(_xll.BTODAY(),"NUMBEROFPERIODS=-1","PER=Y"), "BETA_OVERRIDE_END_DT", _xll.BTODAY(), N$4, "BETA_OVERRIDE_PERIOD=D")</f>
        <v>0.35494641502585161</v>
      </c>
      <c r="O9" s="1" cm="1">
        <f t="array" ref="O9">_xll.BDP($A9, "BETA_ADJ_OVERRIDABLE", "BETA_OVERRIDE_START_DT", _xll.BADDPERIODS(_xll.BTODAY(),"NUMBEROFPERIODS=-1","PER=Y"), "BETA_OVERRIDE_END_DT", _xll.BTODAY(), O$4, "BETA_OVERRIDE_PERIOD=D")</f>
        <v>0.18899238741142327</v>
      </c>
      <c r="P9" s="1" cm="1">
        <f t="array" ref="P9">_xll.BDP($A9, "BETA_ADJ_OVERRIDABLE", "BETA_OVERRIDE_START_DT", _xll.BADDPERIODS(_xll.BTODAY(),"NUMBEROFPERIODS=-1","PER=Y"), "BETA_OVERRIDE_END_DT", _xll.BTODAY(), P$4, "BETA_OVERRIDE_PERIOD=D")</f>
        <v>0.80141182139492873</v>
      </c>
      <c r="Q9" s="1" cm="1">
        <f t="array" ref="Q9">_xll.BDP($A9, "BETA_ADJ_OVERRIDABLE", "BETA_OVERRIDE_START_DT", _xll.BADDPERIODS(_xll.BTODAY(),"NUMBEROFPERIODS=-1","PER=Y"), "BETA_OVERRIDE_END_DT", _xll.BTODAY(), Q$4, "BETA_OVERRIDE_PERIOD=D")</f>
        <v>3.0818534945143909</v>
      </c>
      <c r="R9" s="1" cm="1">
        <f t="array" ref="R9">_xll.BDP($A9, "BETA_ADJ_OVERRIDABLE", "BETA_OVERRIDE_START_DT", _xll.BADDPERIODS(_xll.BTODAY(),"NUMBEROFPERIODS=-1","PER=Y"), "BETA_OVERRIDE_END_DT", _xll.BTODAY(), R$4, "BETA_OVERRIDE_PERIOD=D")</f>
        <v>0.78892722405149829</v>
      </c>
      <c r="S9" s="1" cm="1">
        <f t="array" ref="S9">_xll.BDP($A9, "BETA_ADJ_OVERRIDABLE", "BETA_OVERRIDE_START_DT", _xll.BADDPERIODS(_xll.BTODAY(),"NUMBEROFPERIODS=-1","PER=Y"), "BETA_OVERRIDE_END_DT", _xll.BTODAY(), S$4, "BETA_OVERRIDE_PERIOD=D")</f>
        <v>1.1641189409176389</v>
      </c>
      <c r="T9" s="1" cm="1">
        <f t="array" ref="T9">_xll.BDP($A9, "BETA_ADJ_OVERRIDABLE", "BETA_OVERRIDE_START_DT", _xll.BADDPERIODS(_xll.BTODAY(),"NUMBEROFPERIODS=-1","PER=Y"), "BETA_OVERRIDE_END_DT", _xll.BTODAY(), T$4, "BETA_OVERRIDE_PERIOD=D")</f>
        <v>0.42754311077351942</v>
      </c>
      <c r="U9" s="1" cm="1">
        <f t="array" ref="U9">_xll.BDP($A9, "BETA_ADJ_OVERRIDABLE", "BETA_OVERRIDE_START_DT", _xll.BADDPERIODS(_xll.BTODAY(),"NUMBEROFPERIODS=-1","PER=Y"), "BETA_OVERRIDE_END_DT", _xll.BTODAY(), U$4, "BETA_OVERRIDE_PERIOD=D")</f>
        <v>0.35494641502585161</v>
      </c>
      <c r="V9" s="1" cm="1">
        <f t="array" ref="V9">_xll.BDP($A9, "BETA_ADJ_OVERRIDABLE", "BETA_OVERRIDE_START_DT", _xll.BADDPERIODS(_xll.BTODAY(),"NUMBEROFPERIODS=-1","PER=Y"), "BETA_OVERRIDE_END_DT", _xll.BTODAY(), V$4, "BETA_OVERRIDE_PERIOD=D")</f>
        <v>0.41484150817478749</v>
      </c>
      <c r="W9" s="1" cm="1">
        <f t="array" ref="W9">_xll.BDP($A9, "BETA_ADJ_OVERRIDABLE", "BETA_OVERRIDE_START_DT", _xll.BADDPERIODS(_xll.BTODAY(),"NUMBEROFPERIODS=-1","PER=Y"), "BETA_OVERRIDE_END_DT", _xll.BTODAY(), W$4, "BETA_OVERRIDE_PERIOD=D")</f>
        <v>0.43317997383133727</v>
      </c>
      <c r="X9" s="1" cm="1">
        <f t="array" ref="X9">_xll.BDP($A9, "BETA_ADJ_OVERRIDABLE", "BETA_OVERRIDE_START_DT", _xll.BADDPERIODS(_xll.BTODAY(),"NUMBEROFPERIODS=-1","PER=Y"), "BETA_OVERRIDE_END_DT", _xll.BTODAY(), X$4, "BETA_OVERRIDE_PERIOD=D")</f>
        <v>0.52449849735203258</v>
      </c>
      <c r="Y9" s="1" cm="1">
        <f t="array" ref="Y9">_xll.BDP($A9, "BETA_ADJ_OVERRIDABLE", "BETA_OVERRIDE_START_DT", _xll.BADDPERIODS(_xll.BTODAY(),"NUMBEROFPERIODS=-1","PER=Y"), "BETA_OVERRIDE_END_DT", _xll.BTODAY(), Y$4, "BETA_OVERRIDE_PERIOD=D")</f>
        <v>0.4975274764309191</v>
      </c>
      <c r="Z9" s="1" cm="1">
        <f t="array" ref="Z9">_xll.BDP($A9, "BETA_ADJ_OVERRIDABLE", "BETA_OVERRIDE_START_DT", _xll.BADDPERIODS(_xll.BTODAY(),"NUMBEROFPERIODS=-1","PER=Y"), "BETA_OVERRIDE_END_DT", _xll.BTODAY(), Z$4, "BETA_OVERRIDE_PERIOD=D")</f>
        <v>0.84797205497931105</v>
      </c>
      <c r="AA9" s="1" cm="1">
        <f t="array" ref="AA9">_xll.BDP($A9, "BETA_ADJ_OVERRIDABLE", "BETA_OVERRIDE_START_DT", _xll.BADDPERIODS(_xll.BTODAY(),"NUMBEROFPERIODS=-1","PER=Y"), "BETA_OVERRIDE_END_DT", _xll.BTODAY(), AA$4, "BETA_OVERRIDE_PERIOD=D")</f>
        <v>0.68639782835283092</v>
      </c>
      <c r="AB9" s="1" cm="1">
        <f t="array" ref="AB9">_xll.BDP($A9, "BETA_ADJ_OVERRIDABLE", "BETA_OVERRIDE_START_DT", _xll.BADDPERIODS(_xll.BTODAY(),"NUMBEROFPERIODS=-1","PER=Y"), "BETA_OVERRIDE_END_DT", _xll.BTODAY(), AB$4, "BETA_OVERRIDE_PERIOD=D")</f>
        <v>-6.1915631596586862E-2</v>
      </c>
      <c r="AC9" s="1" cm="1">
        <f t="array" ref="AC9">_xll.BDP($A9, "BETA_ADJ_OVERRIDABLE", "BETA_OVERRIDE_START_DT", _xll.BADDPERIODS(_xll.BTODAY(),"NUMBEROFPERIODS=-1","PER=Y"), "BETA_OVERRIDE_END_DT", _xll.BTODAY(), AC$4, "BETA_OVERRIDE_PERIOD=D")</f>
        <v>0.64646006830074654</v>
      </c>
      <c r="AD9" s="1" cm="1">
        <f t="array" ref="AD9">_xll.BDP($A9, "BETA_ADJ_OVERRIDABLE", "BETA_OVERRIDE_START_DT", _xll.BADDPERIODS(_xll.BTODAY(),"NUMBEROFPERIODS=-1","PER=Y"), "BETA_OVERRIDE_END_DT", _xll.BTODAY(), AD$4, "BETA_OVERRIDE_PERIOD=D")</f>
        <v>0.43076797367099134</v>
      </c>
      <c r="AE9" s="1" cm="1">
        <f t="array" ref="AE9">_xll.BDP($A9, "BETA_ADJ_OVERRIDABLE", "BETA_OVERRIDE_START_DT", _xll.BADDPERIODS(_xll.BTODAY(),"NUMBEROFPERIODS=-1","PER=Y"), "BETA_OVERRIDE_END_DT", _xll.BTODAY(), AE$4, "BETA_OVERRIDE_PERIOD=D")</f>
        <v>1.025571116080727</v>
      </c>
      <c r="AF9" s="1" cm="1">
        <f t="array" ref="AF9">_xll.BDP($A9, "BETA_ADJ_OVERRIDABLE", "BETA_OVERRIDE_START_DT", _xll.BADDPERIODS(_xll.BTODAY(),"NUMBEROFPERIODS=-1","PER=Y"), "BETA_OVERRIDE_END_DT", _xll.BTODAY(), AF$4, "BETA_OVERRIDE_PERIOD=D")</f>
        <v>-1.886841706108235</v>
      </c>
      <c r="AG9" s="1" cm="1">
        <f t="array" ref="AG9">_xll.BDP($A9, "BETA_ADJ_OVERRIDABLE", "BETA_OVERRIDE_START_DT", _xll.BADDPERIODS(_xll.BTODAY(),"NUMBEROFPERIODS=-1","PER=Y"), "BETA_OVERRIDE_END_DT", _xll.BTODAY(), AG$4, "BETA_OVERRIDE_PERIOD=D")</f>
        <v>0.39826150539715977</v>
      </c>
      <c r="AH9" s="1" cm="1">
        <f t="array" ref="AH9">_xll.BDP($A9, "BETA_ADJ_OVERRIDABLE", "BETA_OVERRIDE_START_DT", _xll.BADDPERIODS(_xll.BTODAY(),"NUMBEROFPERIODS=-1","PER=Y"), "BETA_OVERRIDE_END_DT", _xll.BTODAY(), AH$4, "BETA_OVERRIDE_PERIOD=D")</f>
        <v>0.45742925064678153</v>
      </c>
      <c r="AI9" s="1" cm="1">
        <f t="array" ref="AI9">_xll.BDP($A9, "BETA_ADJ_OVERRIDABLE", "BETA_OVERRIDE_START_DT", _xll.BADDPERIODS(_xll.BTODAY(),"NUMBEROFPERIODS=-1","PER=Y"), "BETA_OVERRIDE_END_DT", _xll.BTODAY(), AI$4, "BETA_OVERRIDE_PERIOD=D")</f>
        <v>0.4234006228442117</v>
      </c>
      <c r="AJ9" s="1" cm="1">
        <f t="array" ref="AJ9">_xll.BDP($A9, "BETA_ADJ_OVERRIDABLE", "BETA_OVERRIDE_START_DT", _xll.BADDPERIODS(_xll.BTODAY(),"NUMBEROFPERIODS=-1","PER=Y"), "BETA_OVERRIDE_END_DT", _xll.BTODAY(), AJ$4, "BETA_OVERRIDE_PERIOD=D")</f>
        <v>0.43748263353656536</v>
      </c>
      <c r="AK9" s="1" cm="1">
        <f t="array" ref="AK9">_xll.BDP($A9, "BETA_ADJ_OVERRIDABLE", "BETA_OVERRIDE_START_DT", _xll.BADDPERIODS(_xll.BTODAY(),"NUMBEROFPERIODS=-1","PER=Y"), "BETA_OVERRIDE_END_DT", _xll.BTODAY(), AK$4, "BETA_OVERRIDE_PERIOD=D")</f>
        <v>0.7612081076474807</v>
      </c>
      <c r="AL9" s="1" cm="1">
        <f t="array" ref="AL9">_xll.BDP($A9, "BETA_ADJ_OVERRIDABLE", "BETA_OVERRIDE_START_DT", _xll.BADDPERIODS(_xll.BTODAY(),"NUMBEROFPERIODS=-1","PER=Y"), "BETA_OVERRIDE_END_DT", _xll.BTODAY(), AL$4, "BETA_OVERRIDE_PERIOD=D")</f>
        <v>0.91670416055952586</v>
      </c>
      <c r="AM9" s="1" cm="1">
        <f t="array" ref="AM9">_xll.BDP($A9, "BETA_ADJ_OVERRIDABLE", "BETA_OVERRIDE_START_DT", _xll.BADDPERIODS(_xll.BTODAY(),"NUMBEROFPERIODS=-1","PER=Y"), "BETA_OVERRIDE_END_DT", _xll.BTODAY(), AM$4, "BETA_OVERRIDE_PERIOD=D")</f>
        <v>0.8132344027907803</v>
      </c>
    </row>
    <row r="10" spans="1:39" x14ac:dyDescent="0.25">
      <c r="A10" t="s">
        <v>47</v>
      </c>
      <c r="B10" s="1" cm="1">
        <f t="array" ref="B10">_xll.BDP($A10, "BETA_ADJ_OVERRIDABLE", "BETA_OVERRIDE_START_DT", _xll.BADDPERIODS(_xll.BTODAY(),"NUMBEROFPERIODS=-5","PER=Y"), "BETA_OVERRIDE_END_DT", _xll.BTODAY(), B$4, "BETA_OVERRIDE_PERIOD=M")</f>
        <v>0.93270180000000003</v>
      </c>
      <c r="C10" s="1" cm="1">
        <f t="array" ref="C10">_xll.BDP($A10, "BETA_ADJ_OVERRIDABLE", "BETA_OVERRIDE_START_DT", _xll.BADDPERIODS(_xll.BTODAY(),"NUMBEROFPERIODS=-3","PER=Y"), "BETA_OVERRIDE_END_DT", _xll.BTODAY(), C$4, "BETA_OVERRIDE_PERIOD=W")</f>
        <v>0.85284400000000005</v>
      </c>
      <c r="D10" s="1" cm="1">
        <f t="array" ref="D10">_xll.BDP($A10, "BETA_ADJ_OVERRIDABLE", "BETA_OVERRIDE_START_DT", _xll.BADDPERIODS(_xll.BTODAY(),"NUMBEROFPERIODS=-1","PER=Y"), "BETA_OVERRIDE_END_DT", _xll.BTODAY(), D$4, "BETA_OVERRIDE_PERIOD=D")</f>
        <v>0.80722389999999999</v>
      </c>
      <c r="E10" s="1" cm="1">
        <f t="array" ref="E10">_xll.BDP($A10, "BETA_ADJ_OVERRIDABLE", "BETA_OVERRIDE_START_DT", _xll.BADDPERIODS(_xll.BTODAY(),"NUMBEROFPERIODS=-1","PER=Y"), "BETA_OVERRIDE_END_DT", _xll.BTODAY(), E$4, "BETA_OVERRIDE_PERIOD=D")</f>
        <v>0.79141459999999997</v>
      </c>
      <c r="F10" s="1" cm="1">
        <f t="array" ref="F10">_xll.BDP($A10, "BETA_ADJ_OVERRIDABLE", "BETA_OVERRIDE_START_DT", _xll.BADDPERIODS(_xll.BTODAY(),"NUMBEROFPERIODS=-1","PER=Y"), "BETA_OVERRIDE_END_DT", _xll.BTODAY(), F$4, "BETA_OVERRIDE_PERIOD=D")</f>
        <v>0.73069019999999996</v>
      </c>
      <c r="G10" s="1" cm="1">
        <f t="array" ref="G10">_xll.BDP($A10, "BETA_ADJ_OVERRIDABLE", "BETA_OVERRIDE_START_DT", _xll.BADDPERIODS(_xll.BTODAY(),"NUMBEROFPERIODS=-1","PER=Y"), "BETA_OVERRIDE_END_DT", _xll.BTODAY(), G$4, "BETA_OVERRIDE_PERIOD=D")</f>
        <v>0.65208109999999997</v>
      </c>
      <c r="H10" s="1" cm="1">
        <f t="array" ref="H10">_xll.BDP($A10, "BETA_ADJ_OVERRIDABLE", "BETA_OVERRIDE_START_DT", _xll.BADDPERIODS(_xll.BTODAY(),"NUMBEROFPERIODS=-1","PER=Y"), "BETA_OVERRIDE_END_DT", _xll.BTODAY(), H$4, "BETA_OVERRIDE_PERIOD=D")</f>
        <v>0.98667349999999998</v>
      </c>
      <c r="I10" s="1" cm="1">
        <f t="array" ref="I10">_xll.BDP($A10, "BETA_ADJ_OVERRIDABLE", "BETA_OVERRIDE_START_DT", _xll.BADDPERIODS(_xll.BTODAY(),"NUMBEROFPERIODS=-1","PER=Y"), "BETA_OVERRIDE_END_DT", _xll.BTODAY(), I$4, "BETA_OVERRIDE_PERIOD=D")</f>
        <v>0.64385970000000003</v>
      </c>
      <c r="J10" s="1" cm="1">
        <f t="array" ref="J10">_xll.BDP($A10, "BETA_ADJ_OVERRIDABLE", "BETA_OVERRIDE_START_DT", _xll.BADDPERIODS(_xll.BTODAY(),"NUMBEROFPERIODS=-1","PER=Y"), "BETA_OVERRIDE_END_DT", _xll.BTODAY(), J$4, "BETA_OVERRIDE_PERIOD=D")</f>
        <v>0.43444549999999998</v>
      </c>
      <c r="K10" s="1" cm="1">
        <f t="array" ref="K10">_xll.BDP($A10, "BETA_ADJ_OVERRIDABLE", "BETA_OVERRIDE_START_DT", _xll.BADDPERIODS(_xll.BTODAY(),"NUMBEROFPERIODS=-1","PER=Y"), "BETA_OVERRIDE_END_DT", _xll.BTODAY(), K$4, "BETA_OVERRIDE_PERIOD=D")</f>
        <v>0.40121849999999998</v>
      </c>
      <c r="L10" s="1" cm="1">
        <f t="array" ref="L10">_xll.BDP($A10, "BETA_ADJ_OVERRIDABLE", "BETA_OVERRIDE_START_DT", _xll.BADDPERIODS(_xll.BTODAY(),"NUMBEROFPERIODS=-1","PER=Y"), "BETA_OVERRIDE_END_DT", _xll.BTODAY(), L$4, "BETA_OVERRIDE_PERIOD=D")</f>
        <v>0.91622970000000004</v>
      </c>
      <c r="M10" s="1" cm="1">
        <f t="array" ref="M10">_xll.BDP($A10, "BETA_ADJ_OVERRIDABLE", "BETA_OVERRIDE_START_DT", _xll.BADDPERIODS(_xll.BTODAY(),"NUMBEROFPERIODS=-1","PER=Y"), "BETA_OVERRIDE_END_DT", _xll.BTODAY(), M$4, "BETA_OVERRIDE_PERIOD=D")</f>
        <v>0.43165809999999999</v>
      </c>
      <c r="N10" s="1" cm="1">
        <f t="array" ref="N10">_xll.BDP($A10, "BETA_ADJ_OVERRIDABLE", "BETA_OVERRIDE_START_DT", _xll.BADDPERIODS(_xll.BTODAY(),"NUMBEROFPERIODS=-1","PER=Y"), "BETA_OVERRIDE_END_DT", _xll.BTODAY(), N$4, "BETA_OVERRIDE_PERIOD=D")</f>
        <v>0.30543399999999998</v>
      </c>
      <c r="O10" s="1" cm="1">
        <f t="array" ref="O10">_xll.BDP($A10, "BETA_ADJ_OVERRIDABLE", "BETA_OVERRIDE_START_DT", _xll.BADDPERIODS(_xll.BTODAY(),"NUMBEROFPERIODS=-1","PER=Y"), "BETA_OVERRIDE_END_DT", _xll.BTODAY(), O$4, "BETA_OVERRIDE_PERIOD=D")</f>
        <v>0.44320320000000002</v>
      </c>
      <c r="P10" s="1" cm="1">
        <f t="array" ref="P10">_xll.BDP($A10, "BETA_ADJ_OVERRIDABLE", "BETA_OVERRIDE_START_DT", _xll.BADDPERIODS(_xll.BTODAY(),"NUMBEROFPERIODS=-1","PER=Y"), "BETA_OVERRIDE_END_DT", _xll.BTODAY(), P$4, "BETA_OVERRIDE_PERIOD=D")</f>
        <v>0.85395889999999997</v>
      </c>
      <c r="Q10" s="1" cm="1">
        <f t="array" ref="Q10">_xll.BDP($A10, "BETA_ADJ_OVERRIDABLE", "BETA_OVERRIDE_START_DT", _xll.BADDPERIODS(_xll.BTODAY(),"NUMBEROFPERIODS=-1","PER=Y"), "BETA_OVERRIDE_END_DT", _xll.BTODAY(), Q$4, "BETA_OVERRIDE_PERIOD=D")</f>
        <v>2.4438080000000002</v>
      </c>
      <c r="R10" s="1" cm="1">
        <f t="array" ref="R10">_xll.BDP($A10, "BETA_ADJ_OVERRIDABLE", "BETA_OVERRIDE_START_DT", _xll.BADDPERIODS(_xll.BTODAY(),"NUMBEROFPERIODS=-1","PER=Y"), "BETA_OVERRIDE_END_DT", _xll.BTODAY(), R$4, "BETA_OVERRIDE_PERIOD=D")</f>
        <v>0.34661609999999998</v>
      </c>
      <c r="S10" s="1" cm="1">
        <f t="array" ref="S10">_xll.BDP($A10, "BETA_ADJ_OVERRIDABLE", "BETA_OVERRIDE_START_DT", _xll.BADDPERIODS(_xll.BTODAY(),"NUMBEROFPERIODS=-1","PER=Y"), "BETA_OVERRIDE_END_DT", _xll.BTODAY(), S$4, "BETA_OVERRIDE_PERIOD=D")</f>
        <v>0.79078159999999997</v>
      </c>
      <c r="T10" s="1" cm="1">
        <f t="array" ref="T10">_xll.BDP($A10, "BETA_ADJ_OVERRIDABLE", "BETA_OVERRIDE_START_DT", _xll.BADDPERIODS(_xll.BTODAY(),"NUMBEROFPERIODS=-1","PER=Y"), "BETA_OVERRIDE_END_DT", _xll.BTODAY(), T$4, "BETA_OVERRIDE_PERIOD=D")</f>
        <v>0.86856770000000005</v>
      </c>
      <c r="U10" s="1" cm="1">
        <f t="array" ref="U10">_xll.BDP($A10, "BETA_ADJ_OVERRIDABLE", "BETA_OVERRIDE_START_DT", _xll.BADDPERIODS(_xll.BTODAY(),"NUMBEROFPERIODS=-1","PER=Y"), "BETA_OVERRIDE_END_DT", _xll.BTODAY(), U$4, "BETA_OVERRIDE_PERIOD=D")</f>
        <v>0.30543399999999998</v>
      </c>
      <c r="V10" s="1" cm="1">
        <f t="array" ref="V10">_xll.BDP($A10, "BETA_ADJ_OVERRIDABLE", "BETA_OVERRIDE_START_DT", _xll.BADDPERIODS(_xll.BTODAY(),"NUMBEROFPERIODS=-1","PER=Y"), "BETA_OVERRIDE_END_DT", _xll.BTODAY(), V$4, "BETA_OVERRIDE_PERIOD=D")</f>
        <v>0.3998081</v>
      </c>
      <c r="W10" s="1" cm="1">
        <f t="array" ref="W10">_xll.BDP($A10, "BETA_ADJ_OVERRIDABLE", "BETA_OVERRIDE_START_DT", _xll.BADDPERIODS(_xll.BTODAY(),"NUMBEROFPERIODS=-1","PER=Y"), "BETA_OVERRIDE_END_DT", _xll.BTODAY(), W$4, "BETA_OVERRIDE_PERIOD=D")</f>
        <v>0.40629870000000001</v>
      </c>
      <c r="X10" s="1" cm="1">
        <f t="array" ref="X10">_xll.BDP($A10, "BETA_ADJ_OVERRIDABLE", "BETA_OVERRIDE_START_DT", _xll.BADDPERIODS(_xll.BTODAY(),"NUMBEROFPERIODS=-1","PER=Y"), "BETA_OVERRIDE_END_DT", _xll.BTODAY(), X$4, "BETA_OVERRIDE_PERIOD=D")</f>
        <v>0.33678659999999999</v>
      </c>
      <c r="Y10" s="1" cm="1">
        <f t="array" ref="Y10">_xll.BDP($A10, "BETA_ADJ_OVERRIDABLE", "BETA_OVERRIDE_START_DT", _xll.BADDPERIODS(_xll.BTODAY(),"NUMBEROFPERIODS=-1","PER=Y"), "BETA_OVERRIDE_END_DT", _xll.BTODAY(), Y$4, "BETA_OVERRIDE_PERIOD=D")</f>
        <v>0.38514029999999999</v>
      </c>
      <c r="Z10" s="1" cm="1">
        <f t="array" ref="Z10">_xll.BDP($A10, "BETA_ADJ_OVERRIDABLE", "BETA_OVERRIDE_START_DT", _xll.BADDPERIODS(_xll.BTODAY(),"NUMBEROFPERIODS=-1","PER=Y"), "BETA_OVERRIDE_END_DT", _xll.BTODAY(), Z$4, "BETA_OVERRIDE_PERIOD=D")</f>
        <v>0.55186919999999995</v>
      </c>
      <c r="AA10" s="1" cm="1">
        <f t="array" ref="AA10">_xll.BDP($A10, "BETA_ADJ_OVERRIDABLE", "BETA_OVERRIDE_START_DT", _xll.BADDPERIODS(_xll.BTODAY(),"NUMBEROFPERIODS=-1","PER=Y"), "BETA_OVERRIDE_END_DT", _xll.BTODAY(), AA$4, "BETA_OVERRIDE_PERIOD=D")</f>
        <v>0.4761783</v>
      </c>
      <c r="AB10" s="1" cm="1">
        <f t="array" ref="AB10">_xll.BDP($A10, "BETA_ADJ_OVERRIDABLE", "BETA_OVERRIDE_START_DT", _xll.BADDPERIODS(_xll.BTODAY(),"NUMBEROFPERIODS=-1","PER=Y"), "BETA_OVERRIDE_END_DT", _xll.BTODAY(), AB$4, "BETA_OVERRIDE_PERIOD=D")</f>
        <v>0.41090670000000001</v>
      </c>
      <c r="AC10" s="1" cm="1">
        <f t="array" ref="AC10">_xll.BDP($A10, "BETA_ADJ_OVERRIDABLE", "BETA_OVERRIDE_START_DT", _xll.BADDPERIODS(_xll.BTODAY(),"NUMBEROFPERIODS=-1","PER=Y"), "BETA_OVERRIDE_END_DT", _xll.BTODAY(), AC$4, "BETA_OVERRIDE_PERIOD=D")</f>
        <v>0.21381169999999999</v>
      </c>
      <c r="AD10" s="1" cm="1">
        <f t="array" ref="AD10">_xll.BDP($A10, "BETA_ADJ_OVERRIDABLE", "BETA_OVERRIDE_START_DT", _xll.BADDPERIODS(_xll.BTODAY(),"NUMBEROFPERIODS=-1","PER=Y"), "BETA_OVERRIDE_END_DT", _xll.BTODAY(), AD$4, "BETA_OVERRIDE_PERIOD=D")</f>
        <v>0.49047259999999998</v>
      </c>
      <c r="AE10" s="1" cm="1">
        <f t="array" ref="AE10">_xll.BDP($A10, "BETA_ADJ_OVERRIDABLE", "BETA_OVERRIDE_START_DT", _xll.BADDPERIODS(_xll.BTODAY(),"NUMBEROFPERIODS=-1","PER=Y"), "BETA_OVERRIDE_END_DT", _xll.BTODAY(), AE$4, "BETA_OVERRIDE_PERIOD=D")</f>
        <v>0.48894159999999998</v>
      </c>
      <c r="AF10" s="1" cm="1">
        <f t="array" ref="AF10">_xll.BDP($A10, "BETA_ADJ_OVERRIDABLE", "BETA_OVERRIDE_START_DT", _xll.BADDPERIODS(_xll.BTODAY(),"NUMBEROFPERIODS=-1","PER=Y"), "BETA_OVERRIDE_END_DT", _xll.BTODAY(), AF$4, "BETA_OVERRIDE_PERIOD=D")</f>
        <v>0.33519929999999998</v>
      </c>
      <c r="AG10" s="1" cm="1">
        <f t="array" ref="AG10">_xll.BDP($A10, "BETA_ADJ_OVERRIDABLE", "BETA_OVERRIDE_START_DT", _xll.BADDPERIODS(_xll.BTODAY(),"NUMBEROFPERIODS=-1","PER=Y"), "BETA_OVERRIDE_END_DT", _xll.BTODAY(), AG$4, "BETA_OVERRIDE_PERIOD=D")</f>
        <v>0.25879570000000002</v>
      </c>
      <c r="AH10" s="1" cm="1">
        <f t="array" ref="AH10">_xll.BDP($A10, "BETA_ADJ_OVERRIDABLE", "BETA_OVERRIDE_START_DT", _xll.BADDPERIODS(_xll.BTODAY(),"NUMBEROFPERIODS=-1","PER=Y"), "BETA_OVERRIDE_END_DT", _xll.BTODAY(), AH$4, "BETA_OVERRIDE_PERIOD=D")</f>
        <v>0.43341420000000003</v>
      </c>
      <c r="AI10" s="1" cm="1">
        <f t="array" ref="AI10">_xll.BDP($A10, "BETA_ADJ_OVERRIDABLE", "BETA_OVERRIDE_START_DT", _xll.BADDPERIODS(_xll.BTODAY(),"NUMBEROFPERIODS=-1","PER=Y"), "BETA_OVERRIDE_END_DT", _xll.BTODAY(), AI$4, "BETA_OVERRIDE_PERIOD=D")</f>
        <v>0.3934125</v>
      </c>
      <c r="AJ10" s="1" cm="1">
        <f t="array" ref="AJ10">_xll.BDP($A10, "BETA_ADJ_OVERRIDABLE", "BETA_OVERRIDE_START_DT", _xll.BADDPERIODS(_xll.BTODAY(),"NUMBEROFPERIODS=-1","PER=Y"), "BETA_OVERRIDE_END_DT", _xll.BTODAY(), AJ$4, "BETA_OVERRIDE_PERIOD=D")</f>
        <v>0.40484589999999998</v>
      </c>
      <c r="AK10" s="1" cm="1">
        <f t="array" ref="AK10">_xll.BDP($A10, "BETA_ADJ_OVERRIDABLE", "BETA_OVERRIDE_START_DT", _xll.BADDPERIODS(_xll.BTODAY(),"NUMBEROFPERIODS=-1","PER=Y"), "BETA_OVERRIDE_END_DT", _xll.BTODAY(), AK$4, "BETA_OVERRIDE_PERIOD=D")</f>
        <v>0.79672359999999998</v>
      </c>
      <c r="AL10" s="1" cm="1">
        <f t="array" ref="AL10">_xll.BDP($A10, "BETA_ADJ_OVERRIDABLE", "BETA_OVERRIDE_START_DT", _xll.BADDPERIODS(_xll.BTODAY(),"NUMBEROFPERIODS=-1","PER=Y"), "BETA_OVERRIDE_END_DT", _xll.BTODAY(), AL$4, "BETA_OVERRIDE_PERIOD=D")</f>
        <v>0.87949500000000003</v>
      </c>
      <c r="AM10" s="1" cm="1">
        <f t="array" ref="AM10">_xll.BDP($A10, "BETA_ADJ_OVERRIDABLE", "BETA_OVERRIDE_START_DT", _xll.BADDPERIODS(_xll.BTODAY(),"NUMBEROFPERIODS=-1","PER=Y"), "BETA_OVERRIDE_END_DT", _xll.BTODAY(), AM$4, "BETA_OVERRIDE_PERIOD=D")</f>
        <v>0.85056909999999997</v>
      </c>
    </row>
    <row r="11" spans="1:39" x14ac:dyDescent="0.25">
      <c r="A11" t="s">
        <v>48</v>
      </c>
      <c r="B11" s="1" cm="1">
        <f t="array" ref="B11">_xll.BDP($A11, "BETA_ADJ_OVERRIDABLE", "BETA_OVERRIDE_START_DT", _xll.BADDPERIODS(_xll.BTODAY(),"NUMBEROFPERIODS=-5","PER=Y"), "BETA_OVERRIDE_END_DT", _xll.BTODAY(), B$4, "BETA_OVERRIDE_PERIOD=M")</f>
        <v>1.073215</v>
      </c>
      <c r="C11" s="1" cm="1">
        <f t="array" ref="C11">_xll.BDP($A11, "BETA_ADJ_OVERRIDABLE", "BETA_OVERRIDE_START_DT", _xll.BADDPERIODS(_xll.BTODAY(),"NUMBEROFPERIODS=-3","PER=Y"), "BETA_OVERRIDE_END_DT", _xll.BTODAY(), C$4, "BETA_OVERRIDE_PERIOD=W")</f>
        <v>1.0249870000000001</v>
      </c>
      <c r="D11" s="1" cm="1">
        <f t="array" ref="D11">_xll.BDP($A11, "BETA_ADJ_OVERRIDABLE", "BETA_OVERRIDE_START_DT", _xll.BADDPERIODS(_xll.BTODAY(),"NUMBEROFPERIODS=-1","PER=Y"), "BETA_OVERRIDE_END_DT", _xll.BTODAY(), D$4, "BETA_OVERRIDE_PERIOD=D")</f>
        <v>1.0320480000000001</v>
      </c>
      <c r="E11" s="1" cm="1">
        <f t="array" ref="E11">_xll.BDP($A11, "BETA_ADJ_OVERRIDABLE", "BETA_OVERRIDE_START_DT", _xll.BADDPERIODS(_xll.BTODAY(),"NUMBEROFPERIODS=-1","PER=Y"), "BETA_OVERRIDE_END_DT", _xll.BTODAY(), E$4, "BETA_OVERRIDE_PERIOD=D")</f>
        <v>0.99993869999999996</v>
      </c>
      <c r="F11" s="1" cm="1">
        <f t="array" ref="F11">_xll.BDP($A11, "BETA_ADJ_OVERRIDABLE", "BETA_OVERRIDE_START_DT", _xll.BADDPERIODS(_xll.BTODAY(),"NUMBEROFPERIODS=-1","PER=Y"), "BETA_OVERRIDE_END_DT", _xll.BTODAY(), F$4, "BETA_OVERRIDE_PERIOD=D")</f>
        <v>0.91908650000000003</v>
      </c>
      <c r="G11" s="1" cm="1">
        <f t="array" ref="G11">_xll.BDP($A11, "BETA_ADJ_OVERRIDABLE", "BETA_OVERRIDE_START_DT", _xll.BADDPERIODS(_xll.BTODAY(),"NUMBEROFPERIODS=-1","PER=Y"), "BETA_OVERRIDE_END_DT", _xll.BTODAY(), G$4, "BETA_OVERRIDE_PERIOD=D")</f>
        <v>0.85240629999999995</v>
      </c>
      <c r="H11" s="1" cm="1">
        <f t="array" ref="H11">_xll.BDP($A11, "BETA_ADJ_OVERRIDABLE", "BETA_OVERRIDE_START_DT", _xll.BADDPERIODS(_xll.BTODAY(),"NUMBEROFPERIODS=-1","PER=Y"), "BETA_OVERRIDE_END_DT", _xll.BTODAY(), H$4, "BETA_OVERRIDE_PERIOD=D")</f>
        <v>1.168093</v>
      </c>
      <c r="I11" s="1" cm="1">
        <f t="array" ref="I11">_xll.BDP($A11, "BETA_ADJ_OVERRIDABLE", "BETA_OVERRIDE_START_DT", _xll.BADDPERIODS(_xll.BTODAY(),"NUMBEROFPERIODS=-1","PER=Y"), "BETA_OVERRIDE_END_DT", _xll.BTODAY(), I$4, "BETA_OVERRIDE_PERIOD=D")</f>
        <v>0.84653129999999999</v>
      </c>
      <c r="J11" s="1" cm="1">
        <f t="array" ref="J11">_xll.BDP($A11, "BETA_ADJ_OVERRIDABLE", "BETA_OVERRIDE_START_DT", _xll.BADDPERIODS(_xll.BTODAY(),"NUMBEROFPERIODS=-1","PER=Y"), "BETA_OVERRIDE_END_DT", _xll.BTODAY(), J$4, "BETA_OVERRIDE_PERIOD=D")</f>
        <v>0.44569940000000002</v>
      </c>
      <c r="K11" s="1" cm="1">
        <f t="array" ref="K11">_xll.BDP($A11, "BETA_ADJ_OVERRIDABLE", "BETA_OVERRIDE_START_DT", _xll.BADDPERIODS(_xll.BTODAY(),"NUMBEROFPERIODS=-1","PER=Y"), "BETA_OVERRIDE_END_DT", _xll.BTODAY(), K$4, "BETA_OVERRIDE_PERIOD=D")</f>
        <v>0.4547235</v>
      </c>
      <c r="L11" s="1" cm="1">
        <f t="array" ref="L11">_xll.BDP($A11, "BETA_ADJ_OVERRIDABLE", "BETA_OVERRIDE_START_DT", _xll.BADDPERIODS(_xll.BTODAY(),"NUMBEROFPERIODS=-1","PER=Y"), "BETA_OVERRIDE_END_DT", _xll.BTODAY(), L$4, "BETA_OVERRIDE_PERIOD=D")</f>
        <v>1.181522</v>
      </c>
      <c r="M11" s="1" cm="1">
        <f t="array" ref="M11">_xll.BDP($A11, "BETA_ADJ_OVERRIDABLE", "BETA_OVERRIDE_START_DT", _xll.BADDPERIODS(_xll.BTODAY(),"NUMBEROFPERIODS=-1","PER=Y"), "BETA_OVERRIDE_END_DT", _xll.BTODAY(), M$4, "BETA_OVERRIDE_PERIOD=D")</f>
        <v>0.51071330000000004</v>
      </c>
      <c r="N11" s="1" cm="1">
        <f t="array" ref="N11">_xll.BDP($A11, "BETA_ADJ_OVERRIDABLE", "BETA_OVERRIDE_START_DT", _xll.BADDPERIODS(_xll.BTODAY(),"NUMBEROFPERIODS=-1","PER=Y"), "BETA_OVERRIDE_END_DT", _xll.BTODAY(), N$4, "BETA_OVERRIDE_PERIOD=D")</f>
        <v>0.33126489999999997</v>
      </c>
      <c r="O11" s="1" cm="1">
        <f t="array" ref="O11">_xll.BDP($A11, "BETA_ADJ_OVERRIDABLE", "BETA_OVERRIDE_START_DT", _xll.BADDPERIODS(_xll.BTODAY(),"NUMBEROFPERIODS=-1","PER=Y"), "BETA_OVERRIDE_END_DT", _xll.BTODAY(), O$4, "BETA_OVERRIDE_PERIOD=D")</f>
        <v>0.30199019999999999</v>
      </c>
      <c r="P11" s="1" cm="1">
        <f t="array" ref="P11">_xll.BDP($A11, "BETA_ADJ_OVERRIDABLE", "BETA_OVERRIDE_START_DT", _xll.BADDPERIODS(_xll.BTODAY(),"NUMBEROFPERIODS=-1","PER=Y"), "BETA_OVERRIDE_END_DT", _xll.BTODAY(), P$4, "BETA_OVERRIDE_PERIOD=D")</f>
        <v>0.94174230000000003</v>
      </c>
      <c r="Q11" s="1" cm="1">
        <f t="array" ref="Q11">_xll.BDP($A11, "BETA_ADJ_OVERRIDABLE", "BETA_OVERRIDE_START_DT", _xll.BADDPERIODS(_xll.BTODAY(),"NUMBEROFPERIODS=-1","PER=Y"), "BETA_OVERRIDE_END_DT", _xll.BTODAY(), Q$4, "BETA_OVERRIDE_PERIOD=D")</f>
        <v>3.333275</v>
      </c>
      <c r="R11" s="1" cm="1">
        <f t="array" ref="R11">_xll.BDP($A11, "BETA_ADJ_OVERRIDABLE", "BETA_OVERRIDE_START_DT", _xll.BADDPERIODS(_xll.BTODAY(),"NUMBEROFPERIODS=-1","PER=Y"), "BETA_OVERRIDE_END_DT", _xll.BTODAY(), R$4, "BETA_OVERRIDE_PERIOD=D")</f>
        <v>0.22458719999999999</v>
      </c>
      <c r="S11" s="1" cm="1">
        <f t="array" ref="S11">_xll.BDP($A11, "BETA_ADJ_OVERRIDABLE", "BETA_OVERRIDE_START_DT", _xll.BADDPERIODS(_xll.BTODAY(),"NUMBEROFPERIODS=-1","PER=Y"), "BETA_OVERRIDE_END_DT", _xll.BTODAY(), S$4, "BETA_OVERRIDE_PERIOD=D")</f>
        <v>0.93407910000000005</v>
      </c>
      <c r="T11" s="1" cm="1">
        <f t="array" ref="T11">_xll.BDP($A11, "BETA_ADJ_OVERRIDABLE", "BETA_OVERRIDE_START_DT", _xll.BADDPERIODS(_xll.BTODAY(),"NUMBEROFPERIODS=-1","PER=Y"), "BETA_OVERRIDE_END_DT", _xll.BTODAY(), T$4, "BETA_OVERRIDE_PERIOD=D")</f>
        <v>0.78864540000000005</v>
      </c>
      <c r="U11" s="1" cm="1">
        <f t="array" ref="U11">_xll.BDP($A11, "BETA_ADJ_OVERRIDABLE", "BETA_OVERRIDE_START_DT", _xll.BADDPERIODS(_xll.BTODAY(),"NUMBEROFPERIODS=-1","PER=Y"), "BETA_OVERRIDE_END_DT", _xll.BTODAY(), U$4, "BETA_OVERRIDE_PERIOD=D")</f>
        <v>0.33126489999999997</v>
      </c>
      <c r="V11" s="1" cm="1">
        <f t="array" ref="V11">_xll.BDP($A11, "BETA_ADJ_OVERRIDABLE", "BETA_OVERRIDE_START_DT", _xll.BADDPERIODS(_xll.BTODAY(),"NUMBEROFPERIODS=-1","PER=Y"), "BETA_OVERRIDE_END_DT", _xll.BTODAY(), V$4, "BETA_OVERRIDE_PERIOD=D")</f>
        <v>0.4214909</v>
      </c>
      <c r="W11" s="1" cm="1">
        <f t="array" ref="W11">_xll.BDP($A11, "BETA_ADJ_OVERRIDABLE", "BETA_OVERRIDE_START_DT", _xll.BADDPERIODS(_xll.BTODAY(),"NUMBEROFPERIODS=-1","PER=Y"), "BETA_OVERRIDE_END_DT", _xll.BTODAY(), W$4, "BETA_OVERRIDE_PERIOD=D")</f>
        <v>0.43207899999999999</v>
      </c>
      <c r="X11" s="1" cm="1">
        <f t="array" ref="X11">_xll.BDP($A11, "BETA_ADJ_OVERRIDABLE", "BETA_OVERRIDE_START_DT", _xll.BADDPERIODS(_xll.BTODAY(),"NUMBEROFPERIODS=-1","PER=Y"), "BETA_OVERRIDE_END_DT", _xll.BTODAY(), X$4, "BETA_OVERRIDE_PERIOD=D")</f>
        <v>0.345362</v>
      </c>
      <c r="Y11" s="1" cm="1">
        <f t="array" ref="Y11">_xll.BDP($A11, "BETA_ADJ_OVERRIDABLE", "BETA_OVERRIDE_START_DT", _xll.BADDPERIODS(_xll.BTODAY(),"NUMBEROFPERIODS=-1","PER=Y"), "BETA_OVERRIDE_END_DT", _xll.BTODAY(), Y$4, "BETA_OVERRIDE_PERIOD=D")</f>
        <v>0.40087719999999999</v>
      </c>
      <c r="Z11" s="1" cm="1">
        <f t="array" ref="Z11">_xll.BDP($A11, "BETA_ADJ_OVERRIDABLE", "BETA_OVERRIDE_START_DT", _xll.BADDPERIODS(_xll.BTODAY(),"NUMBEROFPERIODS=-1","PER=Y"), "BETA_OVERRIDE_END_DT", _xll.BTODAY(), Z$4, "BETA_OVERRIDE_PERIOD=D")</f>
        <v>0.62794269999999996</v>
      </c>
      <c r="AA11" s="1" cm="1">
        <f t="array" ref="AA11">_xll.BDP($A11, "BETA_ADJ_OVERRIDABLE", "BETA_OVERRIDE_START_DT", _xll.BADDPERIODS(_xll.BTODAY(),"NUMBEROFPERIODS=-1","PER=Y"), "BETA_OVERRIDE_END_DT", _xll.BTODAY(), AA$4, "BETA_OVERRIDE_PERIOD=D")</f>
        <v>0.54361879999999996</v>
      </c>
      <c r="AB11" s="1" cm="1">
        <f t="array" ref="AB11">_xll.BDP($A11, "BETA_ADJ_OVERRIDABLE", "BETA_OVERRIDE_START_DT", _xll.BADDPERIODS(_xll.BTODAY(),"NUMBEROFPERIODS=-1","PER=Y"), "BETA_OVERRIDE_END_DT", _xll.BTODAY(), AB$4, "BETA_OVERRIDE_PERIOD=D")</f>
        <v>0.48655660000000001</v>
      </c>
      <c r="AC11" s="1" cm="1">
        <f t="array" ref="AC11">_xll.BDP($A11, "BETA_ADJ_OVERRIDABLE", "BETA_OVERRIDE_START_DT", _xll.BADDPERIODS(_xll.BTODAY(),"NUMBEROFPERIODS=-1","PER=Y"), "BETA_OVERRIDE_END_DT", _xll.BTODAY(), AC$4, "BETA_OVERRIDE_PERIOD=D")</f>
        <v>0.14063600000000001</v>
      </c>
      <c r="AD11" s="1" cm="1">
        <f t="array" ref="AD11">_xll.BDP($A11, "BETA_ADJ_OVERRIDABLE", "BETA_OVERRIDE_START_DT", _xll.BADDPERIODS(_xll.BTODAY(),"NUMBEROFPERIODS=-1","PER=Y"), "BETA_OVERRIDE_END_DT", _xll.BTODAY(), AD$4, "BETA_OVERRIDE_PERIOD=D")</f>
        <v>0.66332020000000003</v>
      </c>
      <c r="AE11" s="1" cm="1">
        <f t="array" ref="AE11">_xll.BDP($A11, "BETA_ADJ_OVERRIDABLE", "BETA_OVERRIDE_START_DT", _xll.BADDPERIODS(_xll.BTODAY(),"NUMBEROFPERIODS=-1","PER=Y"), "BETA_OVERRIDE_END_DT", _xll.BTODAY(), AE$4, "BETA_OVERRIDE_PERIOD=D")</f>
        <v>0.50159860000000001</v>
      </c>
      <c r="AF11" s="1" cm="1">
        <f t="array" ref="AF11">_xll.BDP($A11, "BETA_ADJ_OVERRIDABLE", "BETA_OVERRIDE_START_DT", _xll.BADDPERIODS(_xll.BTODAY(),"NUMBEROFPERIODS=-1","PER=Y"), "BETA_OVERRIDE_END_DT", _xll.BTODAY(), AF$4, "BETA_OVERRIDE_PERIOD=D")</f>
        <v>0.1129298</v>
      </c>
      <c r="AG11" s="1" cm="1">
        <f t="array" ref="AG11">_xll.BDP($A11, "BETA_ADJ_OVERRIDABLE", "BETA_OVERRIDE_START_DT", _xll.BADDPERIODS(_xll.BTODAY(),"NUMBEROFPERIODS=-1","PER=Y"), "BETA_OVERRIDE_END_DT", _xll.BTODAY(), AG$4, "BETA_OVERRIDE_PERIOD=D")</f>
        <v>0.26040160000000001</v>
      </c>
      <c r="AH11" s="1" cm="1">
        <f t="array" ref="AH11">_xll.BDP($A11, "BETA_ADJ_OVERRIDABLE", "BETA_OVERRIDE_START_DT", _xll.BADDPERIODS(_xll.BTODAY(),"NUMBEROFPERIODS=-1","PER=Y"), "BETA_OVERRIDE_END_DT", _xll.BTODAY(), AH$4, "BETA_OVERRIDE_PERIOD=D")</f>
        <v>0.49837609999999999</v>
      </c>
      <c r="AI11" s="1" cm="1">
        <f t="array" ref="AI11">_xll.BDP($A11, "BETA_ADJ_OVERRIDABLE", "BETA_OVERRIDE_START_DT", _xll.BADDPERIODS(_xll.BTODAY(),"NUMBEROFPERIODS=-1","PER=Y"), "BETA_OVERRIDE_END_DT", _xll.BTODAY(), AI$4, "BETA_OVERRIDE_PERIOD=D")</f>
        <v>0.43292340000000001</v>
      </c>
      <c r="AJ11" s="1" cm="1">
        <f t="array" ref="AJ11">_xll.BDP($A11, "BETA_ADJ_OVERRIDABLE", "BETA_OVERRIDE_START_DT", _xll.BADDPERIODS(_xll.BTODAY(),"NUMBEROFPERIODS=-1","PER=Y"), "BETA_OVERRIDE_END_DT", _xll.BTODAY(), AJ$4, "BETA_OVERRIDE_PERIOD=D")</f>
        <v>0.44691249999999999</v>
      </c>
      <c r="AK11" s="1" cm="1">
        <f t="array" ref="AK11">_xll.BDP($A11, "BETA_ADJ_OVERRIDABLE", "BETA_OVERRIDE_START_DT", _xll.BADDPERIODS(_xll.BTODAY(),"NUMBEROFPERIODS=-1","PER=Y"), "BETA_OVERRIDE_END_DT", _xll.BTODAY(), AK$4, "BETA_OVERRIDE_PERIOD=D")</f>
        <v>0.90638229999999997</v>
      </c>
      <c r="AL11" s="1" cm="1">
        <f t="array" ref="AL11">_xll.BDP($A11, "BETA_ADJ_OVERRIDABLE", "BETA_OVERRIDE_START_DT", _xll.BADDPERIODS(_xll.BTODAY(),"NUMBEROFPERIODS=-1","PER=Y"), "BETA_OVERRIDE_END_DT", _xll.BTODAY(), AL$4, "BETA_OVERRIDE_PERIOD=D")</f>
        <v>0.98486870000000004</v>
      </c>
      <c r="AM11" s="1" cm="1">
        <f t="array" ref="AM11">_xll.BDP($A11, "BETA_ADJ_OVERRIDABLE", "BETA_OVERRIDE_START_DT", _xll.BADDPERIODS(_xll.BTODAY(),"NUMBEROFPERIODS=-1","PER=Y"), "BETA_OVERRIDE_END_DT", _xll.BTODAY(), AM$4, "BETA_OVERRIDE_PERIOD=D")</f>
        <v>1.034454</v>
      </c>
    </row>
    <row r="12" spans="1:39" x14ac:dyDescent="0.25">
      <c r="A12" t="s">
        <v>49</v>
      </c>
      <c r="B12" s="1" cm="1">
        <f t="array" ref="B12">_xll.BDP($A12, "BETA_ADJ_OVERRIDABLE", "BETA_OVERRIDE_START_DT", _xll.BADDPERIODS(_xll.BTODAY(),"NUMBEROFPERIODS=-5","PER=Y"), "BETA_OVERRIDE_END_DT", _xll.BTODAY(), B$4, "BETA_OVERRIDE_PERIOD=M")</f>
        <v>1.0083960000000001</v>
      </c>
      <c r="C12" s="1" cm="1">
        <f t="array" ref="C12">_xll.BDP($A12, "BETA_ADJ_OVERRIDABLE", "BETA_OVERRIDE_START_DT", _xll.BADDPERIODS(_xll.BTODAY(),"NUMBEROFPERIODS=-3","PER=Y"), "BETA_OVERRIDE_END_DT", _xll.BTODAY(), C$4, "BETA_OVERRIDE_PERIOD=W")</f>
        <v>1.0111399999999999</v>
      </c>
      <c r="D12" s="1" cm="1">
        <f t="array" ref="D12">_xll.BDP($A12, "BETA_ADJ_OVERRIDABLE", "BETA_OVERRIDE_START_DT", _xll.BADDPERIODS(_xll.BTODAY(),"NUMBEROFPERIODS=-1","PER=Y"), "BETA_OVERRIDE_END_DT", _xll.BTODAY(), D$4, "BETA_OVERRIDE_PERIOD=D")</f>
        <v>1.0096309999999999</v>
      </c>
      <c r="E12" s="1" cm="1">
        <f t="array" ref="E12">_xll.BDP($A12, "BETA_ADJ_OVERRIDABLE", "BETA_OVERRIDE_START_DT", _xll.BADDPERIODS(_xll.BTODAY(),"NUMBEROFPERIODS=-1","PER=Y"), "BETA_OVERRIDE_END_DT", _xll.BTODAY(), E$4, "BETA_OVERRIDE_PERIOD=D")</f>
        <v>0.87633159999999999</v>
      </c>
      <c r="F12" s="1" cm="1">
        <f t="array" ref="F12">_xll.BDP($A12, "BETA_ADJ_OVERRIDABLE", "BETA_OVERRIDE_START_DT", _xll.BADDPERIODS(_xll.BTODAY(),"NUMBEROFPERIODS=-1","PER=Y"), "BETA_OVERRIDE_END_DT", _xll.BTODAY(), F$4, "BETA_OVERRIDE_PERIOD=D")</f>
        <v>0.80893389999999998</v>
      </c>
      <c r="G12" s="1" cm="1">
        <f t="array" ref="G12">_xll.BDP($A12, "BETA_ADJ_OVERRIDABLE", "BETA_OVERRIDE_START_DT", _xll.BADDPERIODS(_xll.BTODAY(),"NUMBEROFPERIODS=-1","PER=Y"), "BETA_OVERRIDE_END_DT", _xll.BTODAY(), G$4, "BETA_OVERRIDE_PERIOD=D")</f>
        <v>0.85622160000000003</v>
      </c>
      <c r="H12" s="1" cm="1">
        <f t="array" ref="H12">_xll.BDP($A12, "BETA_ADJ_OVERRIDABLE", "BETA_OVERRIDE_START_DT", _xll.BADDPERIODS(_xll.BTODAY(),"NUMBEROFPERIODS=-1","PER=Y"), "BETA_OVERRIDE_END_DT", _xll.BTODAY(), H$4, "BETA_OVERRIDE_PERIOD=D")</f>
        <v>1.0517829999999999</v>
      </c>
      <c r="I12" s="1" cm="1">
        <f t="array" ref="I12">_xll.BDP($A12, "BETA_ADJ_OVERRIDABLE", "BETA_OVERRIDE_START_DT", _xll.BADDPERIODS(_xll.BTODAY(),"NUMBEROFPERIODS=-1","PER=Y"), "BETA_OVERRIDE_END_DT", _xll.BTODAY(), I$4, "BETA_OVERRIDE_PERIOD=D")</f>
        <v>0.85543380000000002</v>
      </c>
      <c r="J12" s="1" cm="1">
        <f t="array" ref="J12">_xll.BDP($A12, "BETA_ADJ_OVERRIDABLE", "BETA_OVERRIDE_START_DT", _xll.BADDPERIODS(_xll.BTODAY(),"NUMBEROFPERIODS=-1","PER=Y"), "BETA_OVERRIDE_END_DT", _xll.BTODAY(), J$4, "BETA_OVERRIDE_PERIOD=D")</f>
        <v>0.42247669999999998</v>
      </c>
      <c r="K12" s="1" cm="1">
        <f t="array" ref="K12">_xll.BDP($A12, "BETA_ADJ_OVERRIDABLE", "BETA_OVERRIDE_START_DT", _xll.BADDPERIODS(_xll.BTODAY(),"NUMBEROFPERIODS=-1","PER=Y"), "BETA_OVERRIDE_END_DT", _xll.BTODAY(), K$4, "BETA_OVERRIDE_PERIOD=D")</f>
        <v>0.42467329999999998</v>
      </c>
      <c r="L12" s="1" cm="1">
        <f t="array" ref="L12">_xll.BDP($A12, "BETA_ADJ_OVERRIDABLE", "BETA_OVERRIDE_START_DT", _xll.BADDPERIODS(_xll.BTODAY(),"NUMBEROFPERIODS=-1","PER=Y"), "BETA_OVERRIDE_END_DT", _xll.BTODAY(), L$4, "BETA_OVERRIDE_PERIOD=D")</f>
        <v>1.1475010000000001</v>
      </c>
      <c r="M12" s="1" cm="1">
        <f t="array" ref="M12">_xll.BDP($A12, "BETA_ADJ_OVERRIDABLE", "BETA_OVERRIDE_START_DT", _xll.BADDPERIODS(_xll.BTODAY(),"NUMBEROFPERIODS=-1","PER=Y"), "BETA_OVERRIDE_END_DT", _xll.BTODAY(), M$4, "BETA_OVERRIDE_PERIOD=D")</f>
        <v>0.52759800000000001</v>
      </c>
      <c r="N12" s="1" cm="1">
        <f t="array" ref="N12">_xll.BDP($A12, "BETA_ADJ_OVERRIDABLE", "BETA_OVERRIDE_START_DT", _xll.BADDPERIODS(_xll.BTODAY(),"NUMBEROFPERIODS=-1","PER=Y"), "BETA_OVERRIDE_END_DT", _xll.BTODAY(), N$4, "BETA_OVERRIDE_PERIOD=D")</f>
        <v>0.3751912</v>
      </c>
      <c r="O12" s="1" cm="1">
        <f t="array" ref="O12">_xll.BDP($A12, "BETA_ADJ_OVERRIDABLE", "BETA_OVERRIDE_START_DT", _xll.BADDPERIODS(_xll.BTODAY(),"NUMBEROFPERIODS=-1","PER=Y"), "BETA_OVERRIDE_END_DT", _xll.BTODAY(), O$4, "BETA_OVERRIDE_PERIOD=D")</f>
        <v>0.13421240000000001</v>
      </c>
      <c r="P12" s="1" cm="1">
        <f t="array" ref="P12">_xll.BDP($A12, "BETA_ADJ_OVERRIDABLE", "BETA_OVERRIDE_START_DT", _xll.BADDPERIODS(_xll.BTODAY(),"NUMBEROFPERIODS=-1","PER=Y"), "BETA_OVERRIDE_END_DT", _xll.BTODAY(), P$4, "BETA_OVERRIDE_PERIOD=D")</f>
        <v>0.72988299999999995</v>
      </c>
      <c r="Q12" s="1" cm="1">
        <f t="array" ref="Q12">_xll.BDP($A12, "BETA_ADJ_OVERRIDABLE", "BETA_OVERRIDE_START_DT", _xll.BADDPERIODS(_xll.BTODAY(),"NUMBEROFPERIODS=-1","PER=Y"), "BETA_OVERRIDE_END_DT", _xll.BTODAY(), Q$4, "BETA_OVERRIDE_PERIOD=D")</f>
        <v>2.9414750000000001</v>
      </c>
      <c r="R12" s="1" cm="1">
        <f t="array" ref="R12">_xll.BDP($A12, "BETA_ADJ_OVERRIDABLE", "BETA_OVERRIDE_START_DT", _xll.BADDPERIODS(_xll.BTODAY(),"NUMBEROFPERIODS=-1","PER=Y"), "BETA_OVERRIDE_END_DT", _xll.BTODAY(), R$4, "BETA_OVERRIDE_PERIOD=D")</f>
        <v>0.1496198</v>
      </c>
      <c r="S12" s="1" cm="1">
        <f t="array" ref="S12">_xll.BDP($A12, "BETA_ADJ_OVERRIDABLE", "BETA_OVERRIDE_START_DT", _xll.BADDPERIODS(_xll.BTODAY(),"NUMBEROFPERIODS=-1","PER=Y"), "BETA_OVERRIDE_END_DT", _xll.BTODAY(), S$4, "BETA_OVERRIDE_PERIOD=D")</f>
        <v>0.75983029999999996</v>
      </c>
      <c r="T12" s="1" cm="1">
        <f t="array" ref="T12">_xll.BDP($A12, "BETA_ADJ_OVERRIDABLE", "BETA_OVERRIDE_START_DT", _xll.BADDPERIODS(_xll.BTODAY(),"NUMBEROFPERIODS=-1","PER=Y"), "BETA_OVERRIDE_END_DT", _xll.BTODAY(), T$4, "BETA_OVERRIDE_PERIOD=D")</f>
        <v>0.61658729999999995</v>
      </c>
      <c r="U12" s="1" cm="1">
        <f t="array" ref="U12">_xll.BDP($A12, "BETA_ADJ_OVERRIDABLE", "BETA_OVERRIDE_START_DT", _xll.BADDPERIODS(_xll.BTODAY(),"NUMBEROFPERIODS=-1","PER=Y"), "BETA_OVERRIDE_END_DT", _xll.BTODAY(), U$4, "BETA_OVERRIDE_PERIOD=D")</f>
        <v>0.3751912</v>
      </c>
      <c r="V12" s="1" cm="1">
        <f t="array" ref="V12">_xll.BDP($A12, "BETA_ADJ_OVERRIDABLE", "BETA_OVERRIDE_START_DT", _xll.BADDPERIODS(_xll.BTODAY(),"NUMBEROFPERIODS=-1","PER=Y"), "BETA_OVERRIDE_END_DT", _xll.BTODAY(), V$4, "BETA_OVERRIDE_PERIOD=D")</f>
        <v>0.42866609999999999</v>
      </c>
      <c r="W12" s="1" cm="1">
        <f t="array" ref="W12">_xll.BDP($A12, "BETA_ADJ_OVERRIDABLE", "BETA_OVERRIDE_START_DT", _xll.BADDPERIODS(_xll.BTODAY(),"NUMBEROFPERIODS=-1","PER=Y"), "BETA_OVERRIDE_END_DT", _xll.BTODAY(), W$4, "BETA_OVERRIDE_PERIOD=D")</f>
        <v>0.43637049999999999</v>
      </c>
      <c r="X12" s="1" cm="1">
        <f t="array" ref="X12">_xll.BDP($A12, "BETA_ADJ_OVERRIDABLE", "BETA_OVERRIDE_START_DT", _xll.BADDPERIODS(_xll.BTODAY(),"NUMBEROFPERIODS=-1","PER=Y"), "BETA_OVERRIDE_END_DT", _xll.BTODAY(), X$4, "BETA_OVERRIDE_PERIOD=D")</f>
        <v>0.34897099999999998</v>
      </c>
      <c r="Y12" s="1" cm="1">
        <f t="array" ref="Y12">_xll.BDP($A12, "BETA_ADJ_OVERRIDABLE", "BETA_OVERRIDE_START_DT", _xll.BADDPERIODS(_xll.BTODAY(),"NUMBEROFPERIODS=-1","PER=Y"), "BETA_OVERRIDE_END_DT", _xll.BTODAY(), Y$4, "BETA_OVERRIDE_PERIOD=D")</f>
        <v>0.38806819999999997</v>
      </c>
      <c r="Z12" s="1" cm="1">
        <f t="array" ref="Z12">_xll.BDP($A12, "BETA_ADJ_OVERRIDABLE", "BETA_OVERRIDE_START_DT", _xll.BADDPERIODS(_xll.BTODAY(),"NUMBEROFPERIODS=-1","PER=Y"), "BETA_OVERRIDE_END_DT", _xll.BTODAY(), Z$4, "BETA_OVERRIDE_PERIOD=D")</f>
        <v>0.61781750000000002</v>
      </c>
      <c r="AA12" s="1" cm="1">
        <f t="array" ref="AA12">_xll.BDP($A12, "BETA_ADJ_OVERRIDABLE", "BETA_OVERRIDE_START_DT", _xll.BADDPERIODS(_xll.BTODAY(),"NUMBEROFPERIODS=-1","PER=Y"), "BETA_OVERRIDE_END_DT", _xll.BTODAY(), AA$4, "BETA_OVERRIDE_PERIOD=D")</f>
        <v>0.51390349999999996</v>
      </c>
      <c r="AB12" s="1" cm="1">
        <f t="array" ref="AB12">_xll.BDP($A12, "BETA_ADJ_OVERRIDABLE", "BETA_OVERRIDE_START_DT", _xll.BADDPERIODS(_xll.BTODAY(),"NUMBEROFPERIODS=-1","PER=Y"), "BETA_OVERRIDE_END_DT", _xll.BTODAY(), AB$4, "BETA_OVERRIDE_PERIOD=D")</f>
        <v>0.50208269999999999</v>
      </c>
      <c r="AC12" s="1" cm="1">
        <f t="array" ref="AC12">_xll.BDP($A12, "BETA_ADJ_OVERRIDABLE", "BETA_OVERRIDE_START_DT", _xll.BADDPERIODS(_xll.BTODAY(),"NUMBEROFPERIODS=-1","PER=Y"), "BETA_OVERRIDE_END_DT", _xll.BTODAY(), AC$4, "BETA_OVERRIDE_PERIOD=D")</f>
        <v>0.1388741</v>
      </c>
      <c r="AD12" s="1" cm="1">
        <f t="array" ref="AD12">_xll.BDP($A12, "BETA_ADJ_OVERRIDABLE", "BETA_OVERRIDE_START_DT", _xll.BADDPERIODS(_xll.BTODAY(),"NUMBEROFPERIODS=-1","PER=Y"), "BETA_OVERRIDE_END_DT", _xll.BTODAY(), AD$4, "BETA_OVERRIDE_PERIOD=D")</f>
        <v>0.67350339999999997</v>
      </c>
      <c r="AE12" s="1" cm="1">
        <f t="array" ref="AE12">_xll.BDP($A12, "BETA_ADJ_OVERRIDABLE", "BETA_OVERRIDE_START_DT", _xll.BADDPERIODS(_xll.BTODAY(),"NUMBEROFPERIODS=-1","PER=Y"), "BETA_OVERRIDE_END_DT", _xll.BTODAY(), AE$4, "BETA_OVERRIDE_PERIOD=D")</f>
        <v>0.48420629999999998</v>
      </c>
      <c r="AF12" s="1" cm="1">
        <f t="array" ref="AF12">_xll.BDP($A12, "BETA_ADJ_OVERRIDABLE", "BETA_OVERRIDE_START_DT", _xll.BADDPERIODS(_xll.BTODAY(),"NUMBEROFPERIODS=-1","PER=Y"), "BETA_OVERRIDE_END_DT", _xll.BTODAY(), AF$4, "BETA_OVERRIDE_PERIOD=D")</f>
        <v>0.191436</v>
      </c>
      <c r="AG12" s="1" cm="1">
        <f t="array" ref="AG12">_xll.BDP($A12, "BETA_ADJ_OVERRIDABLE", "BETA_OVERRIDE_START_DT", _xll.BADDPERIODS(_xll.BTODAY(),"NUMBEROFPERIODS=-1","PER=Y"), "BETA_OVERRIDE_END_DT", _xll.BTODAY(), AG$4, "BETA_OVERRIDE_PERIOD=D")</f>
        <v>0.15311649999999999</v>
      </c>
      <c r="AH12" s="1" cm="1">
        <f t="array" ref="AH12">_xll.BDP($A12, "BETA_ADJ_OVERRIDABLE", "BETA_OVERRIDE_START_DT", _xll.BADDPERIODS(_xll.BTODAY(),"NUMBEROFPERIODS=-1","PER=Y"), "BETA_OVERRIDE_END_DT", _xll.BTODAY(), AH$4, "BETA_OVERRIDE_PERIOD=D")</f>
        <v>0.47180879999999997</v>
      </c>
      <c r="AI12" s="1" cm="1">
        <f t="array" ref="AI12">_xll.BDP($A12, "BETA_ADJ_OVERRIDABLE", "BETA_OVERRIDE_START_DT", _xll.BADDPERIODS(_xll.BTODAY(),"NUMBEROFPERIODS=-1","PER=Y"), "BETA_OVERRIDE_END_DT", _xll.BTODAY(), AI$4, "BETA_OVERRIDE_PERIOD=D")</f>
        <v>0.4215544</v>
      </c>
      <c r="AJ12" s="1" cm="1">
        <f t="array" ref="AJ12">_xll.BDP($A12, "BETA_ADJ_OVERRIDABLE", "BETA_OVERRIDE_START_DT", _xll.BADDPERIODS(_xll.BTODAY(),"NUMBEROFPERIODS=-1","PER=Y"), "BETA_OVERRIDE_END_DT", _xll.BTODAY(), AJ$4, "BETA_OVERRIDE_PERIOD=D")</f>
        <v>0.43267559999999999</v>
      </c>
      <c r="AK12" s="1" cm="1">
        <f t="array" ref="AK12">_xll.BDP($A12, "BETA_ADJ_OVERRIDABLE", "BETA_OVERRIDE_START_DT", _xll.BADDPERIODS(_xll.BTODAY(),"NUMBEROFPERIODS=-1","PER=Y"), "BETA_OVERRIDE_END_DT", _xll.BTODAY(), AK$4, "BETA_OVERRIDE_PERIOD=D")</f>
        <v>0.78332840000000004</v>
      </c>
      <c r="AL12" s="1" cm="1">
        <f t="array" ref="AL12">_xll.BDP($A12, "BETA_ADJ_OVERRIDABLE", "BETA_OVERRIDE_START_DT", _xll.BADDPERIODS(_xll.BTODAY(),"NUMBEROFPERIODS=-1","PER=Y"), "BETA_OVERRIDE_END_DT", _xll.BTODAY(), AL$4, "BETA_OVERRIDE_PERIOD=D")</f>
        <v>0.83571280000000003</v>
      </c>
      <c r="AM12" s="1" cm="1">
        <f t="array" ref="AM12">_xll.BDP($A12, "BETA_ADJ_OVERRIDABLE", "BETA_OVERRIDE_START_DT", _xll.BADDPERIODS(_xll.BTODAY(),"NUMBEROFPERIODS=-1","PER=Y"), "BETA_OVERRIDE_END_DT", _xll.BTODAY(), AM$4, "BETA_OVERRIDE_PERIOD=D")</f>
        <v>0.88630830000000005</v>
      </c>
    </row>
    <row r="13" spans="1:39" x14ac:dyDescent="0.25">
      <c r="A13" t="s">
        <v>50</v>
      </c>
      <c r="B13" s="1" cm="1">
        <f t="array" ref="B13">_xll.BDP($A13, "BETA_ADJ_OVERRIDABLE", "BETA_OVERRIDE_START_DT", _xll.BADDPERIODS(_xll.BTODAY(),"NUMBEROFPERIODS=-5","PER=Y"), "BETA_OVERRIDE_END_DT", _xll.BTODAY(), B$4, "BETA_OVERRIDE_PERIOD=M")</f>
        <v>0.8183182</v>
      </c>
      <c r="C13" s="1" cm="1">
        <f t="array" ref="C13">_xll.BDP($A13, "BETA_ADJ_OVERRIDABLE", "BETA_OVERRIDE_START_DT", _xll.BADDPERIODS(_xll.BTODAY(),"NUMBEROFPERIODS=-3","PER=Y"), "BETA_OVERRIDE_END_DT", _xll.BTODAY(), C$4, "BETA_OVERRIDE_PERIOD=W")</f>
        <v>0.73657660000000003</v>
      </c>
      <c r="D13" s="1" cm="1">
        <f t="array" ref="D13">_xll.BDP($A13, "BETA_ADJ_OVERRIDABLE", "BETA_OVERRIDE_START_DT", _xll.BADDPERIODS(_xll.BTODAY(),"NUMBEROFPERIODS=-1","PER=Y"), "BETA_OVERRIDE_END_DT", _xll.BTODAY(), D$4, "BETA_OVERRIDE_PERIOD=D")</f>
        <v>0.67764619999999998</v>
      </c>
      <c r="E13" s="1" cm="1">
        <f t="array" ref="E13">_xll.BDP($A13, "BETA_ADJ_OVERRIDABLE", "BETA_OVERRIDE_START_DT", _xll.BADDPERIODS(_xll.BTODAY(),"NUMBEROFPERIODS=-1","PER=Y"), "BETA_OVERRIDE_END_DT", _xll.BTODAY(), E$4, "BETA_OVERRIDE_PERIOD=D")</f>
        <v>0.66321200000000002</v>
      </c>
      <c r="F13" s="1" cm="1">
        <f t="array" ref="F13">_xll.BDP($A13, "BETA_ADJ_OVERRIDABLE", "BETA_OVERRIDE_START_DT", _xll.BADDPERIODS(_xll.BTODAY(),"NUMBEROFPERIODS=-1","PER=Y"), "BETA_OVERRIDE_END_DT", _xll.BTODAY(), F$4, "BETA_OVERRIDE_PERIOD=D")</f>
        <v>0.61043999999999998</v>
      </c>
      <c r="G13" s="1" cm="1">
        <f t="array" ref="G13">_xll.BDP($A13, "BETA_ADJ_OVERRIDABLE", "BETA_OVERRIDE_START_DT", _xll.BADDPERIODS(_xll.BTODAY(),"NUMBEROFPERIODS=-1","PER=Y"), "BETA_OVERRIDE_END_DT", _xll.BTODAY(), G$4, "BETA_OVERRIDE_PERIOD=D")</f>
        <v>0.54657029999999995</v>
      </c>
      <c r="H13" s="1" cm="1">
        <f t="array" ref="H13">_xll.BDP($A13, "BETA_ADJ_OVERRIDABLE", "BETA_OVERRIDE_START_DT", _xll.BADDPERIODS(_xll.BTODAY(),"NUMBEROFPERIODS=-1","PER=Y"), "BETA_OVERRIDE_END_DT", _xll.BTODAY(), H$4, "BETA_OVERRIDE_PERIOD=D")</f>
        <v>0.85592299999999999</v>
      </c>
      <c r="I13" s="1" cm="1">
        <f t="array" ref="I13">_xll.BDP($A13, "BETA_ADJ_OVERRIDABLE", "BETA_OVERRIDE_START_DT", _xll.BADDPERIODS(_xll.BTODAY(),"NUMBEROFPERIODS=-1","PER=Y"), "BETA_OVERRIDE_END_DT", _xll.BTODAY(), I$4, "BETA_OVERRIDE_PERIOD=D")</f>
        <v>0.53747089999999997</v>
      </c>
      <c r="J13" s="1" cm="1">
        <f t="array" ref="J13">_xll.BDP($A13, "BETA_ADJ_OVERRIDABLE", "BETA_OVERRIDE_START_DT", _xll.BADDPERIODS(_xll.BTODAY(),"NUMBEROFPERIODS=-1","PER=Y"), "BETA_OVERRIDE_END_DT", _xll.BTODAY(), J$4, "BETA_OVERRIDE_PERIOD=D")</f>
        <v>0.41894110000000001</v>
      </c>
      <c r="K13" s="1" cm="1">
        <f t="array" ref="K13">_xll.BDP($A13, "BETA_ADJ_OVERRIDABLE", "BETA_OVERRIDE_START_DT", _xll.BADDPERIODS(_xll.BTODAY(),"NUMBEROFPERIODS=-1","PER=Y"), "BETA_OVERRIDE_END_DT", _xll.BTODAY(), K$4, "BETA_OVERRIDE_PERIOD=D")</f>
        <v>0.37525049999999999</v>
      </c>
      <c r="L13" s="1" cm="1">
        <f t="array" ref="L13">_xll.BDP($A13, "BETA_ADJ_OVERRIDABLE", "BETA_OVERRIDE_START_DT", _xll.BADDPERIODS(_xll.BTODAY(),"NUMBEROFPERIODS=-1","PER=Y"), "BETA_OVERRIDE_END_DT", _xll.BTODAY(), L$4, "BETA_OVERRIDE_PERIOD=D")</f>
        <v>0.7595982</v>
      </c>
      <c r="M13" s="1" cm="1">
        <f t="array" ref="M13">_xll.BDP($A13, "BETA_ADJ_OVERRIDABLE", "BETA_OVERRIDE_START_DT", _xll.BADDPERIODS(_xll.BTODAY(),"NUMBEROFPERIODS=-1","PER=Y"), "BETA_OVERRIDE_END_DT", _xll.BTODAY(), M$4, "BETA_OVERRIDE_PERIOD=D")</f>
        <v>0.37933309999999998</v>
      </c>
      <c r="N13" s="1" cm="1">
        <f t="array" ref="N13">_xll.BDP($A13, "BETA_ADJ_OVERRIDABLE", "BETA_OVERRIDE_START_DT", _xll.BADDPERIODS(_xll.BTODAY(),"NUMBEROFPERIODS=-1","PER=Y"), "BETA_OVERRIDE_END_DT", _xll.BTODAY(), N$4, "BETA_OVERRIDE_PERIOD=D")</f>
        <v>0.27400999999999998</v>
      </c>
      <c r="O13" s="1" cm="1">
        <f t="array" ref="O13">_xll.BDP($A13, "BETA_ADJ_OVERRIDABLE", "BETA_OVERRIDE_START_DT", _xll.BADDPERIODS(_xll.BTODAY(),"NUMBEROFPERIODS=-1","PER=Y"), "BETA_OVERRIDE_END_DT", _xll.BTODAY(), O$4, "BETA_OVERRIDE_PERIOD=D")</f>
        <v>0.5823604</v>
      </c>
      <c r="P13" s="1" cm="1">
        <f t="array" ref="P13">_xll.BDP($A13, "BETA_ADJ_OVERRIDABLE", "BETA_OVERRIDE_START_DT", _xll.BADDPERIODS(_xll.BTODAY(),"NUMBEROFPERIODS=-1","PER=Y"), "BETA_OVERRIDE_END_DT", _xll.BTODAY(), P$4, "BETA_OVERRIDE_PERIOD=D")</f>
        <v>0.83778589999999997</v>
      </c>
      <c r="Q13" s="1" cm="1">
        <f t="array" ref="Q13">_xll.BDP($A13, "BETA_ADJ_OVERRIDABLE", "BETA_OVERRIDE_START_DT", _xll.BADDPERIODS(_xll.BTODAY(),"NUMBEROFPERIODS=-1","PER=Y"), "BETA_OVERRIDE_END_DT", _xll.BTODAY(), Q$4, "BETA_OVERRIDE_PERIOD=D")</f>
        <v>1.8801319999999999</v>
      </c>
      <c r="R13" s="1" cm="1">
        <f t="array" ref="R13">_xll.BDP($A13, "BETA_ADJ_OVERRIDABLE", "BETA_OVERRIDE_START_DT", _xll.BADDPERIODS(_xll.BTODAY(),"NUMBEROFPERIODS=-1","PER=Y"), "BETA_OVERRIDE_END_DT", _xll.BTODAY(), R$4, "BETA_OVERRIDE_PERIOD=D")</f>
        <v>0.4817959</v>
      </c>
      <c r="S13" s="1" cm="1">
        <f t="array" ref="S13">_xll.BDP($A13, "BETA_ADJ_OVERRIDABLE", "BETA_OVERRIDE_START_DT", _xll.BADDPERIODS(_xll.BTODAY(),"NUMBEROFPERIODS=-1","PER=Y"), "BETA_OVERRIDE_END_DT", _xll.BTODAY(), S$4, "BETA_OVERRIDE_PERIOD=D")</f>
        <v>0.71647439999999996</v>
      </c>
      <c r="T13" s="1" cm="1">
        <f t="array" ref="T13">_xll.BDP($A13, "BETA_ADJ_OVERRIDABLE", "BETA_OVERRIDE_START_DT", _xll.BADDPERIODS(_xll.BTODAY(),"NUMBEROFPERIODS=-1","PER=Y"), "BETA_OVERRIDE_END_DT", _xll.BTODAY(), T$4, "BETA_OVERRIDE_PERIOD=D")</f>
        <v>0.94826940000000004</v>
      </c>
      <c r="U13" s="1" cm="1">
        <f t="array" ref="U13">_xll.BDP($A13, "BETA_ADJ_OVERRIDABLE", "BETA_OVERRIDE_START_DT", _xll.BADDPERIODS(_xll.BTODAY(),"NUMBEROFPERIODS=-1","PER=Y"), "BETA_OVERRIDE_END_DT", _xll.BTODAY(), U$4, "BETA_OVERRIDE_PERIOD=D")</f>
        <v>0.27400999999999998</v>
      </c>
      <c r="V13" s="1" cm="1">
        <f t="array" ref="V13">_xll.BDP($A13, "BETA_ADJ_OVERRIDABLE", "BETA_OVERRIDE_START_DT", _xll.BADDPERIODS(_xll.BTODAY(),"NUMBEROFPERIODS=-1","PER=Y"), "BETA_OVERRIDE_END_DT", _xll.BTODAY(), V$4, "BETA_OVERRIDE_PERIOD=D")</f>
        <v>0.39314539999999998</v>
      </c>
      <c r="W13" s="1" cm="1">
        <f t="array" ref="W13">_xll.BDP($A13, "BETA_ADJ_OVERRIDABLE", "BETA_OVERRIDE_START_DT", _xll.BADDPERIODS(_xll.BTODAY(),"NUMBEROFPERIODS=-1","PER=Y"), "BETA_OVERRIDE_END_DT", _xll.BTODAY(), W$4, "BETA_OVERRIDE_PERIOD=D")</f>
        <v>0.39813199999999999</v>
      </c>
      <c r="X13" s="1" cm="1">
        <f t="array" ref="X13">_xll.BDP($A13, "BETA_ADJ_OVERRIDABLE", "BETA_OVERRIDE_START_DT", _xll.BADDPERIODS(_xll.BTODAY(),"NUMBEROFPERIODS=-1","PER=Y"), "BETA_OVERRIDE_END_DT", _xll.BTODAY(), X$4, "BETA_OVERRIDE_PERIOD=D")</f>
        <v>0.35177900000000001</v>
      </c>
      <c r="Y13" s="1" cm="1">
        <f t="array" ref="Y13">_xll.BDP($A13, "BETA_ADJ_OVERRIDABLE", "BETA_OVERRIDE_START_DT", _xll.BADDPERIODS(_xll.BTODAY(),"NUMBEROFPERIODS=-1","PER=Y"), "BETA_OVERRIDE_END_DT", _xll.BTODAY(), Y$4, "BETA_OVERRIDE_PERIOD=D")</f>
        <v>0.38296180000000002</v>
      </c>
      <c r="Z13" s="1" cm="1">
        <f t="array" ref="Z13">_xll.BDP($A13, "BETA_ADJ_OVERRIDABLE", "BETA_OVERRIDE_START_DT", _xll.BADDPERIODS(_xll.BTODAY(),"NUMBEROFPERIODS=-1","PER=Y"), "BETA_OVERRIDE_END_DT", _xll.BTODAY(), Z$4, "BETA_OVERRIDE_PERIOD=D")</f>
        <v>0.53457299999999996</v>
      </c>
      <c r="AA13" s="1" cm="1">
        <f t="array" ref="AA13">_xll.BDP($A13, "BETA_ADJ_OVERRIDABLE", "BETA_OVERRIDE_START_DT", _xll.BADDPERIODS(_xll.BTODAY(),"NUMBEROFPERIODS=-1","PER=Y"), "BETA_OVERRIDE_END_DT", _xll.BTODAY(), AA$4, "BETA_OVERRIDE_PERIOD=D")</f>
        <v>0.44704680000000002</v>
      </c>
      <c r="AB13" s="1" cm="1">
        <f t="array" ref="AB13">_xll.BDP($A13, "BETA_ADJ_OVERRIDABLE", "BETA_OVERRIDE_START_DT", _xll.BADDPERIODS(_xll.BTODAY(),"NUMBEROFPERIODS=-1","PER=Y"), "BETA_OVERRIDE_END_DT", _xll.BTODAY(), AB$4, "BETA_OVERRIDE_PERIOD=D")</f>
        <v>0.33237929999999999</v>
      </c>
      <c r="AC13" s="1" cm="1">
        <f t="array" ref="AC13">_xll.BDP($A13, "BETA_ADJ_OVERRIDABLE", "BETA_OVERRIDE_START_DT", _xll.BADDPERIODS(_xll.BTODAY(),"NUMBEROFPERIODS=-1","PER=Y"), "BETA_OVERRIDE_END_DT", _xll.BTODAY(), AC$4, "BETA_OVERRIDE_PERIOD=D")</f>
        <v>0.28911239999999999</v>
      </c>
      <c r="AD13" s="1" cm="1">
        <f t="array" ref="AD13">_xll.BDP($A13, "BETA_ADJ_OVERRIDABLE", "BETA_OVERRIDE_START_DT", _xll.BADDPERIODS(_xll.BTODAY(),"NUMBEROFPERIODS=-1","PER=Y"), "BETA_OVERRIDE_END_DT", _xll.BTODAY(), AD$4, "BETA_OVERRIDE_PERIOD=D")</f>
        <v>0.3741102</v>
      </c>
      <c r="AE13" s="1" cm="1">
        <f t="array" ref="AE13">_xll.BDP($A13, "BETA_ADJ_OVERRIDABLE", "BETA_OVERRIDE_START_DT", _xll.BADDPERIODS(_xll.BTODAY(),"NUMBEROFPERIODS=-1","PER=Y"), "BETA_OVERRIDE_END_DT", _xll.BTODAY(), AE$4, "BETA_OVERRIDE_PERIOD=D")</f>
        <v>0.50835699999999995</v>
      </c>
      <c r="AF13" s="1" cm="1">
        <f t="array" ref="AF13">_xll.BDP($A13, "BETA_ADJ_OVERRIDABLE", "BETA_OVERRIDE_START_DT", _xll.BADDPERIODS(_xll.BTODAY(),"NUMBEROFPERIODS=-1","PER=Y"), "BETA_OVERRIDE_END_DT", _xll.BTODAY(), AF$4, "BETA_OVERRIDE_PERIOD=D")</f>
        <v>0.2290382</v>
      </c>
      <c r="AG13" s="1" cm="1">
        <f t="array" ref="AG13">_xll.BDP($A13, "BETA_ADJ_OVERRIDABLE", "BETA_OVERRIDE_START_DT", _xll.BADDPERIODS(_xll.BTODAY(),"NUMBEROFPERIODS=-1","PER=Y"), "BETA_OVERRIDE_END_DT", _xll.BTODAY(), AG$4, "BETA_OVERRIDE_PERIOD=D")</f>
        <v>0.21785019999999999</v>
      </c>
      <c r="AH13" s="1" cm="1">
        <f t="array" ref="AH13">_xll.BDP($A13, "BETA_ADJ_OVERRIDABLE", "BETA_OVERRIDE_START_DT", _xll.BADDPERIODS(_xll.BTODAY(),"NUMBEROFPERIODS=-1","PER=Y"), "BETA_OVERRIDE_END_DT", _xll.BTODAY(), AH$4, "BETA_OVERRIDE_PERIOD=D")</f>
        <v>0.39194190000000001</v>
      </c>
      <c r="AI13" s="1" cm="1">
        <f t="array" ref="AI13">_xll.BDP($A13, "BETA_ADJ_OVERRIDABLE", "BETA_OVERRIDE_START_DT", _xll.BADDPERIODS(_xll.BTODAY(),"NUMBEROFPERIODS=-1","PER=Y"), "BETA_OVERRIDE_END_DT", _xll.BTODAY(), AI$4, "BETA_OVERRIDE_PERIOD=D")</f>
        <v>0.36998110000000001</v>
      </c>
      <c r="AJ13" s="1" cm="1">
        <f t="array" ref="AJ13">_xll.BDP($A13, "BETA_ADJ_OVERRIDABLE", "BETA_OVERRIDE_START_DT", _xll.BADDPERIODS(_xll.BTODAY(),"NUMBEROFPERIODS=-1","PER=Y"), "BETA_OVERRIDE_END_DT", _xll.BTODAY(), AJ$4, "BETA_OVERRIDE_PERIOD=D")</f>
        <v>0.37413550000000001</v>
      </c>
      <c r="AK13" s="1" cm="1">
        <f t="array" ref="AK13">_xll.BDP($A13, "BETA_ADJ_OVERRIDABLE", "BETA_OVERRIDE_START_DT", _xll.BADDPERIODS(_xll.BTODAY(),"NUMBEROFPERIODS=-1","PER=Y"), "BETA_OVERRIDE_END_DT", _xll.BTODAY(), AK$4, "BETA_OVERRIDE_PERIOD=D")</f>
        <v>0.72681039999999997</v>
      </c>
      <c r="AL13" s="1" cm="1">
        <f t="array" ref="AL13">_xll.BDP($A13, "BETA_ADJ_OVERRIDABLE", "BETA_OVERRIDE_START_DT", _xll.BADDPERIODS(_xll.BTODAY(),"NUMBEROFPERIODS=-1","PER=Y"), "BETA_OVERRIDE_END_DT", _xll.BTODAY(), AL$4, "BETA_OVERRIDE_PERIOD=D")</f>
        <v>0.80711120000000003</v>
      </c>
      <c r="AM13" s="1" cm="1">
        <f t="array" ref="AM13">_xll.BDP($A13, "BETA_ADJ_OVERRIDABLE", "BETA_OVERRIDE_START_DT", _xll.BADDPERIODS(_xll.BTODAY(),"NUMBEROFPERIODS=-1","PER=Y"), "BETA_OVERRIDE_END_DT", _xll.BTODAY(), AM$4, "BETA_OVERRIDE_PERIOD=D")</f>
        <v>0.72585719999999998</v>
      </c>
    </row>
    <row r="14" spans="1:39" x14ac:dyDescent="0.25">
      <c r="A14" t="s">
        <v>50</v>
      </c>
      <c r="B14" s="1" cm="1">
        <f t="array" ref="B14">_xll.BDP($A14, "BETA_ADJ_OVERRIDABLE", "BETA_OVERRIDE_START_DT", _xll.BADDPERIODS(_xll.BTODAY(),"NUMBEROFPERIODS=-5","PER=Y"), "BETA_OVERRIDE_END_DT", _xll.BTODAY(), B$4, "BETA_OVERRIDE_PERIOD=M")</f>
        <v>0.8183182</v>
      </c>
      <c r="C14" s="1" cm="1">
        <f t="array" ref="C14">_xll.BDP($A14, "BETA_ADJ_OVERRIDABLE", "BETA_OVERRIDE_START_DT", _xll.BADDPERIODS(_xll.BTODAY(),"NUMBEROFPERIODS=-3","PER=Y"), "BETA_OVERRIDE_END_DT", _xll.BTODAY(), C$4, "BETA_OVERRIDE_PERIOD=W")</f>
        <v>0.73657660000000003</v>
      </c>
      <c r="D14" s="1" cm="1">
        <f t="array" ref="D14">_xll.BDP($A14, "BETA_ADJ_OVERRIDABLE", "BETA_OVERRIDE_START_DT", _xll.BADDPERIODS(_xll.BTODAY(),"NUMBEROFPERIODS=-1","PER=Y"), "BETA_OVERRIDE_END_DT", _xll.BTODAY(), D$4, "BETA_OVERRIDE_PERIOD=D")</f>
        <v>0.67764619999999998</v>
      </c>
      <c r="E14" s="1" cm="1">
        <f t="array" ref="E14">_xll.BDP($A14, "BETA_ADJ_OVERRIDABLE", "BETA_OVERRIDE_START_DT", _xll.BADDPERIODS(_xll.BTODAY(),"NUMBEROFPERIODS=-1","PER=Y"), "BETA_OVERRIDE_END_DT", _xll.BTODAY(), E$4, "BETA_OVERRIDE_PERIOD=D")</f>
        <v>0.66321200000000002</v>
      </c>
      <c r="F14" s="1" cm="1">
        <f t="array" ref="F14">_xll.BDP($A14, "BETA_ADJ_OVERRIDABLE", "BETA_OVERRIDE_START_DT", _xll.BADDPERIODS(_xll.BTODAY(),"NUMBEROFPERIODS=-1","PER=Y"), "BETA_OVERRIDE_END_DT", _xll.BTODAY(), F$4, "BETA_OVERRIDE_PERIOD=D")</f>
        <v>0.61043999999999998</v>
      </c>
      <c r="G14" s="1" cm="1">
        <f t="array" ref="G14">_xll.BDP($A14, "BETA_ADJ_OVERRIDABLE", "BETA_OVERRIDE_START_DT", _xll.BADDPERIODS(_xll.BTODAY(),"NUMBEROFPERIODS=-1","PER=Y"), "BETA_OVERRIDE_END_DT", _xll.BTODAY(), G$4, "BETA_OVERRIDE_PERIOD=D")</f>
        <v>0.54657029999999995</v>
      </c>
      <c r="H14" s="1" cm="1">
        <f t="array" ref="H14">_xll.BDP($A14, "BETA_ADJ_OVERRIDABLE", "BETA_OVERRIDE_START_DT", _xll.BADDPERIODS(_xll.BTODAY(),"NUMBEROFPERIODS=-1","PER=Y"), "BETA_OVERRIDE_END_DT", _xll.BTODAY(), H$4, "BETA_OVERRIDE_PERIOD=D")</f>
        <v>0.85592299999999999</v>
      </c>
      <c r="I14" s="1" cm="1">
        <f t="array" ref="I14">_xll.BDP($A14, "BETA_ADJ_OVERRIDABLE", "BETA_OVERRIDE_START_DT", _xll.BADDPERIODS(_xll.BTODAY(),"NUMBEROFPERIODS=-1","PER=Y"), "BETA_OVERRIDE_END_DT", _xll.BTODAY(), I$4, "BETA_OVERRIDE_PERIOD=D")</f>
        <v>0.53747089999999997</v>
      </c>
      <c r="J14" s="1" cm="1">
        <f t="array" ref="J14">_xll.BDP($A14, "BETA_ADJ_OVERRIDABLE", "BETA_OVERRIDE_START_DT", _xll.BADDPERIODS(_xll.BTODAY(),"NUMBEROFPERIODS=-1","PER=Y"), "BETA_OVERRIDE_END_DT", _xll.BTODAY(), J$4, "BETA_OVERRIDE_PERIOD=D")</f>
        <v>0.41894110000000001</v>
      </c>
      <c r="K14" s="1" cm="1">
        <f t="array" ref="K14">_xll.BDP($A14, "BETA_ADJ_OVERRIDABLE", "BETA_OVERRIDE_START_DT", _xll.BADDPERIODS(_xll.BTODAY(),"NUMBEROFPERIODS=-1","PER=Y"), "BETA_OVERRIDE_END_DT", _xll.BTODAY(), K$4, "BETA_OVERRIDE_PERIOD=D")</f>
        <v>0.37525049999999999</v>
      </c>
      <c r="L14" s="1" cm="1">
        <f t="array" ref="L14">_xll.BDP($A14, "BETA_ADJ_OVERRIDABLE", "BETA_OVERRIDE_START_DT", _xll.BADDPERIODS(_xll.BTODAY(),"NUMBEROFPERIODS=-1","PER=Y"), "BETA_OVERRIDE_END_DT", _xll.BTODAY(), L$4, "BETA_OVERRIDE_PERIOD=D")</f>
        <v>0.7595982</v>
      </c>
      <c r="M14" s="1" cm="1">
        <f t="array" ref="M14">_xll.BDP($A14, "BETA_ADJ_OVERRIDABLE", "BETA_OVERRIDE_START_DT", _xll.BADDPERIODS(_xll.BTODAY(),"NUMBEROFPERIODS=-1","PER=Y"), "BETA_OVERRIDE_END_DT", _xll.BTODAY(), M$4, "BETA_OVERRIDE_PERIOD=D")</f>
        <v>0.37933309999999998</v>
      </c>
      <c r="N14" s="1" cm="1">
        <f t="array" ref="N14">_xll.BDP($A14, "BETA_ADJ_OVERRIDABLE", "BETA_OVERRIDE_START_DT", _xll.BADDPERIODS(_xll.BTODAY(),"NUMBEROFPERIODS=-1","PER=Y"), "BETA_OVERRIDE_END_DT", _xll.BTODAY(), N$4, "BETA_OVERRIDE_PERIOD=D")</f>
        <v>0.27400999999999998</v>
      </c>
      <c r="O14" s="1" cm="1">
        <f t="array" ref="O14">_xll.BDP($A14, "BETA_ADJ_OVERRIDABLE", "BETA_OVERRIDE_START_DT", _xll.BADDPERIODS(_xll.BTODAY(),"NUMBEROFPERIODS=-1","PER=Y"), "BETA_OVERRIDE_END_DT", _xll.BTODAY(), O$4, "BETA_OVERRIDE_PERIOD=D")</f>
        <v>0.5823604</v>
      </c>
      <c r="P14" s="1" cm="1">
        <f t="array" ref="P14">_xll.BDP($A14, "BETA_ADJ_OVERRIDABLE", "BETA_OVERRIDE_START_DT", _xll.BADDPERIODS(_xll.BTODAY(),"NUMBEROFPERIODS=-1","PER=Y"), "BETA_OVERRIDE_END_DT", _xll.BTODAY(), P$4, "BETA_OVERRIDE_PERIOD=D")</f>
        <v>0.83778589999999997</v>
      </c>
      <c r="Q14" s="1" cm="1">
        <f t="array" ref="Q14">_xll.BDP($A14, "BETA_ADJ_OVERRIDABLE", "BETA_OVERRIDE_START_DT", _xll.BADDPERIODS(_xll.BTODAY(),"NUMBEROFPERIODS=-1","PER=Y"), "BETA_OVERRIDE_END_DT", _xll.BTODAY(), Q$4, "BETA_OVERRIDE_PERIOD=D")</f>
        <v>1.8801319999999999</v>
      </c>
      <c r="R14" s="1" cm="1">
        <f t="array" ref="R14">_xll.BDP($A14, "BETA_ADJ_OVERRIDABLE", "BETA_OVERRIDE_START_DT", _xll.BADDPERIODS(_xll.BTODAY(),"NUMBEROFPERIODS=-1","PER=Y"), "BETA_OVERRIDE_END_DT", _xll.BTODAY(), R$4, "BETA_OVERRIDE_PERIOD=D")</f>
        <v>0.4817959</v>
      </c>
      <c r="S14" s="1" cm="1">
        <f t="array" ref="S14">_xll.BDP($A14, "BETA_ADJ_OVERRIDABLE", "BETA_OVERRIDE_START_DT", _xll.BADDPERIODS(_xll.BTODAY(),"NUMBEROFPERIODS=-1","PER=Y"), "BETA_OVERRIDE_END_DT", _xll.BTODAY(), S$4, "BETA_OVERRIDE_PERIOD=D")</f>
        <v>0.71647439999999996</v>
      </c>
      <c r="T14" s="1" cm="1">
        <f t="array" ref="T14">_xll.BDP($A14, "BETA_ADJ_OVERRIDABLE", "BETA_OVERRIDE_START_DT", _xll.BADDPERIODS(_xll.BTODAY(),"NUMBEROFPERIODS=-1","PER=Y"), "BETA_OVERRIDE_END_DT", _xll.BTODAY(), T$4, "BETA_OVERRIDE_PERIOD=D")</f>
        <v>0.94826940000000004</v>
      </c>
      <c r="U14" s="1" cm="1">
        <f t="array" ref="U14">_xll.BDP($A14, "BETA_ADJ_OVERRIDABLE", "BETA_OVERRIDE_START_DT", _xll.BADDPERIODS(_xll.BTODAY(),"NUMBEROFPERIODS=-1","PER=Y"), "BETA_OVERRIDE_END_DT", _xll.BTODAY(), U$4, "BETA_OVERRIDE_PERIOD=D")</f>
        <v>0.27400999999999998</v>
      </c>
      <c r="V14" s="1" cm="1">
        <f t="array" ref="V14">_xll.BDP($A14, "BETA_ADJ_OVERRIDABLE", "BETA_OVERRIDE_START_DT", _xll.BADDPERIODS(_xll.BTODAY(),"NUMBEROFPERIODS=-1","PER=Y"), "BETA_OVERRIDE_END_DT", _xll.BTODAY(), V$4, "BETA_OVERRIDE_PERIOD=D")</f>
        <v>0.39314539999999998</v>
      </c>
      <c r="W14" s="1" cm="1">
        <f t="array" ref="W14">_xll.BDP($A14, "BETA_ADJ_OVERRIDABLE", "BETA_OVERRIDE_START_DT", _xll.BADDPERIODS(_xll.BTODAY(),"NUMBEROFPERIODS=-1","PER=Y"), "BETA_OVERRIDE_END_DT", _xll.BTODAY(), W$4, "BETA_OVERRIDE_PERIOD=D")</f>
        <v>0.39813199999999999</v>
      </c>
      <c r="X14" s="1" cm="1">
        <f t="array" ref="X14">_xll.BDP($A14, "BETA_ADJ_OVERRIDABLE", "BETA_OVERRIDE_START_DT", _xll.BADDPERIODS(_xll.BTODAY(),"NUMBEROFPERIODS=-1","PER=Y"), "BETA_OVERRIDE_END_DT", _xll.BTODAY(), X$4, "BETA_OVERRIDE_PERIOD=D")</f>
        <v>0.35177900000000001</v>
      </c>
      <c r="Y14" s="1" cm="1">
        <f t="array" ref="Y14">_xll.BDP($A14, "BETA_ADJ_OVERRIDABLE", "BETA_OVERRIDE_START_DT", _xll.BADDPERIODS(_xll.BTODAY(),"NUMBEROFPERIODS=-1","PER=Y"), "BETA_OVERRIDE_END_DT", _xll.BTODAY(), Y$4, "BETA_OVERRIDE_PERIOD=D")</f>
        <v>0.38296180000000002</v>
      </c>
      <c r="Z14" s="1" cm="1">
        <f t="array" ref="Z14">_xll.BDP($A14, "BETA_ADJ_OVERRIDABLE", "BETA_OVERRIDE_START_DT", _xll.BADDPERIODS(_xll.BTODAY(),"NUMBEROFPERIODS=-1","PER=Y"), "BETA_OVERRIDE_END_DT", _xll.BTODAY(), Z$4, "BETA_OVERRIDE_PERIOD=D")</f>
        <v>0.53457299999999996</v>
      </c>
      <c r="AA14" s="1" cm="1">
        <f t="array" ref="AA14">_xll.BDP($A14, "BETA_ADJ_OVERRIDABLE", "BETA_OVERRIDE_START_DT", _xll.BADDPERIODS(_xll.BTODAY(),"NUMBEROFPERIODS=-1","PER=Y"), "BETA_OVERRIDE_END_DT", _xll.BTODAY(), AA$4, "BETA_OVERRIDE_PERIOD=D")</f>
        <v>0.44704680000000002</v>
      </c>
      <c r="AB14" s="1" cm="1">
        <f t="array" ref="AB14">_xll.BDP($A14, "BETA_ADJ_OVERRIDABLE", "BETA_OVERRIDE_START_DT", _xll.BADDPERIODS(_xll.BTODAY(),"NUMBEROFPERIODS=-1","PER=Y"), "BETA_OVERRIDE_END_DT", _xll.BTODAY(), AB$4, "BETA_OVERRIDE_PERIOD=D")</f>
        <v>0.33237929999999999</v>
      </c>
      <c r="AC14" s="1" cm="1">
        <f t="array" ref="AC14">_xll.BDP($A14, "BETA_ADJ_OVERRIDABLE", "BETA_OVERRIDE_START_DT", _xll.BADDPERIODS(_xll.BTODAY(),"NUMBEROFPERIODS=-1","PER=Y"), "BETA_OVERRIDE_END_DT", _xll.BTODAY(), AC$4, "BETA_OVERRIDE_PERIOD=D")</f>
        <v>0.28911239999999999</v>
      </c>
      <c r="AD14" s="1" cm="1">
        <f t="array" ref="AD14">_xll.BDP($A14, "BETA_ADJ_OVERRIDABLE", "BETA_OVERRIDE_START_DT", _xll.BADDPERIODS(_xll.BTODAY(),"NUMBEROFPERIODS=-1","PER=Y"), "BETA_OVERRIDE_END_DT", _xll.BTODAY(), AD$4, "BETA_OVERRIDE_PERIOD=D")</f>
        <v>0.3741102</v>
      </c>
      <c r="AE14" s="1" cm="1">
        <f t="array" ref="AE14">_xll.BDP($A14, "BETA_ADJ_OVERRIDABLE", "BETA_OVERRIDE_START_DT", _xll.BADDPERIODS(_xll.BTODAY(),"NUMBEROFPERIODS=-1","PER=Y"), "BETA_OVERRIDE_END_DT", _xll.BTODAY(), AE$4, "BETA_OVERRIDE_PERIOD=D")</f>
        <v>0.50835699999999995</v>
      </c>
      <c r="AF14" s="1" cm="1">
        <f t="array" ref="AF14">_xll.BDP($A14, "BETA_ADJ_OVERRIDABLE", "BETA_OVERRIDE_START_DT", _xll.BADDPERIODS(_xll.BTODAY(),"NUMBEROFPERIODS=-1","PER=Y"), "BETA_OVERRIDE_END_DT", _xll.BTODAY(), AF$4, "BETA_OVERRIDE_PERIOD=D")</f>
        <v>0.2290382</v>
      </c>
      <c r="AG14" s="1" cm="1">
        <f t="array" ref="AG14">_xll.BDP($A14, "BETA_ADJ_OVERRIDABLE", "BETA_OVERRIDE_START_DT", _xll.BADDPERIODS(_xll.BTODAY(),"NUMBEROFPERIODS=-1","PER=Y"), "BETA_OVERRIDE_END_DT", _xll.BTODAY(), AG$4, "BETA_OVERRIDE_PERIOD=D")</f>
        <v>0.21785019999999999</v>
      </c>
      <c r="AH14" s="1" cm="1">
        <f t="array" ref="AH14">_xll.BDP($A14, "BETA_ADJ_OVERRIDABLE", "BETA_OVERRIDE_START_DT", _xll.BADDPERIODS(_xll.BTODAY(),"NUMBEROFPERIODS=-1","PER=Y"), "BETA_OVERRIDE_END_DT", _xll.BTODAY(), AH$4, "BETA_OVERRIDE_PERIOD=D")</f>
        <v>0.39194190000000001</v>
      </c>
      <c r="AI14" s="1" cm="1">
        <f t="array" ref="AI14">_xll.BDP($A14, "BETA_ADJ_OVERRIDABLE", "BETA_OVERRIDE_START_DT", _xll.BADDPERIODS(_xll.BTODAY(),"NUMBEROFPERIODS=-1","PER=Y"), "BETA_OVERRIDE_END_DT", _xll.BTODAY(), AI$4, "BETA_OVERRIDE_PERIOD=D")</f>
        <v>0.36998110000000001</v>
      </c>
      <c r="AJ14" s="1" cm="1">
        <f t="array" ref="AJ14">_xll.BDP($A14, "BETA_ADJ_OVERRIDABLE", "BETA_OVERRIDE_START_DT", _xll.BADDPERIODS(_xll.BTODAY(),"NUMBEROFPERIODS=-1","PER=Y"), "BETA_OVERRIDE_END_DT", _xll.BTODAY(), AJ$4, "BETA_OVERRIDE_PERIOD=D")</f>
        <v>0.37413550000000001</v>
      </c>
      <c r="AK14" s="1" cm="1">
        <f t="array" ref="AK14">_xll.BDP($A14, "BETA_ADJ_OVERRIDABLE", "BETA_OVERRIDE_START_DT", _xll.BADDPERIODS(_xll.BTODAY(),"NUMBEROFPERIODS=-1","PER=Y"), "BETA_OVERRIDE_END_DT", _xll.BTODAY(), AK$4, "BETA_OVERRIDE_PERIOD=D")</f>
        <v>0.72681039999999997</v>
      </c>
      <c r="AL14" s="1" cm="1">
        <f t="array" ref="AL14">_xll.BDP($A14, "BETA_ADJ_OVERRIDABLE", "BETA_OVERRIDE_START_DT", _xll.BADDPERIODS(_xll.BTODAY(),"NUMBEROFPERIODS=-1","PER=Y"), "BETA_OVERRIDE_END_DT", _xll.BTODAY(), AL$4, "BETA_OVERRIDE_PERIOD=D")</f>
        <v>0.80711120000000003</v>
      </c>
      <c r="AM14" s="1" cm="1">
        <f t="array" ref="AM14">_xll.BDP($A14, "BETA_ADJ_OVERRIDABLE", "BETA_OVERRIDE_START_DT", _xll.BADDPERIODS(_xll.BTODAY(),"NUMBEROFPERIODS=-1","PER=Y"), "BETA_OVERRIDE_END_DT", _xll.BTODAY(), AM$4, "BETA_OVERRIDE_PERIOD=D")</f>
        <v>0.72585719999999998</v>
      </c>
    </row>
    <row r="15" spans="1:39" x14ac:dyDescent="0.25">
      <c r="A15" t="s">
        <v>51</v>
      </c>
      <c r="B15" s="1" cm="1">
        <f t="array" ref="B15">_xll.BDP($A15, "BETA_ADJ_OVERRIDABLE", "BETA_OVERRIDE_START_DT", _xll.BADDPERIODS(_xll.BTODAY(),"NUMBEROFPERIODS=-5","PER=Y"), "BETA_OVERRIDE_END_DT", _xll.BTODAY(), B$4, "BETA_OVERRIDE_PERIOD=M")</f>
        <v>1.017727</v>
      </c>
      <c r="C15" s="1" cm="1">
        <f t="array" ref="C15">_xll.BDP($A15, "BETA_ADJ_OVERRIDABLE", "BETA_OVERRIDE_START_DT", _xll.BADDPERIODS(_xll.BTODAY(),"NUMBEROFPERIODS=-3","PER=Y"), "BETA_OVERRIDE_END_DT", _xll.BTODAY(), C$4, "BETA_OVERRIDE_PERIOD=W")</f>
        <v>0.9641052</v>
      </c>
      <c r="D15" s="1" cm="1">
        <f t="array" ref="D15">_xll.BDP($A15, "BETA_ADJ_OVERRIDABLE", "BETA_OVERRIDE_START_DT", _xll.BADDPERIODS(_xll.BTODAY(),"NUMBEROFPERIODS=-1","PER=Y"), "BETA_OVERRIDE_END_DT", _xll.BTODAY(), D$4, "BETA_OVERRIDE_PERIOD=D")</f>
        <v>0.92068810000000001</v>
      </c>
      <c r="E15" s="1" cm="1">
        <f t="array" ref="E15">_xll.BDP($A15, "BETA_ADJ_OVERRIDABLE", "BETA_OVERRIDE_START_DT", _xll.BADDPERIODS(_xll.BTODAY(),"NUMBEROFPERIODS=-1","PER=Y"), "BETA_OVERRIDE_END_DT", _xll.BTODAY(), E$4, "BETA_OVERRIDE_PERIOD=D")</f>
        <v>0.86668270000000003</v>
      </c>
      <c r="F15" s="1" cm="1">
        <f t="array" ref="F15">_xll.BDP($A15, "BETA_ADJ_OVERRIDABLE", "BETA_OVERRIDE_START_DT", _xll.BADDPERIODS(_xll.BTODAY(),"NUMBEROFPERIODS=-1","PER=Y"), "BETA_OVERRIDE_END_DT", _xll.BTODAY(), F$4, "BETA_OVERRIDE_PERIOD=D")</f>
        <v>0.79579350000000004</v>
      </c>
      <c r="G15" s="1" cm="1">
        <f t="array" ref="G15">_xll.BDP($A15, "BETA_ADJ_OVERRIDABLE", "BETA_OVERRIDE_START_DT", _xll.BADDPERIODS(_xll.BTODAY(),"NUMBEROFPERIODS=-1","PER=Y"), "BETA_OVERRIDE_END_DT", _xll.BTODAY(), G$4, "BETA_OVERRIDE_PERIOD=D")</f>
        <v>0.76090820000000003</v>
      </c>
      <c r="H15" s="1" cm="1">
        <f t="array" ref="H15">_xll.BDP($A15, "BETA_ADJ_OVERRIDABLE", "BETA_OVERRIDE_START_DT", _xll.BADDPERIODS(_xll.BTODAY(),"NUMBEROFPERIODS=-1","PER=Y"), "BETA_OVERRIDE_END_DT", _xll.BTODAY(), H$4, "BETA_OVERRIDE_PERIOD=D")</f>
        <v>1.0522020000000001</v>
      </c>
      <c r="I15" s="1" cm="1">
        <f t="array" ref="I15">_xll.BDP($A15, "BETA_ADJ_OVERRIDABLE", "BETA_OVERRIDE_START_DT", _xll.BADDPERIODS(_xll.BTODAY(),"NUMBEROFPERIODS=-1","PER=Y"), "BETA_OVERRIDE_END_DT", _xll.BTODAY(), I$4, "BETA_OVERRIDE_PERIOD=D")</f>
        <v>0.75481390000000004</v>
      </c>
      <c r="J15" s="1" cm="1">
        <f t="array" ref="J15">_xll.BDP($A15, "BETA_ADJ_OVERRIDABLE", "BETA_OVERRIDE_START_DT", _xll.BADDPERIODS(_xll.BTODAY(),"NUMBEROFPERIODS=-1","PER=Y"), "BETA_OVERRIDE_END_DT", _xll.BTODAY(), J$4, "BETA_OVERRIDE_PERIOD=D")</f>
        <v>0.45147789999999999</v>
      </c>
      <c r="K15" s="1" cm="1">
        <f t="array" ref="K15">_xll.BDP($A15, "BETA_ADJ_OVERRIDABLE", "BETA_OVERRIDE_START_DT", _xll.BADDPERIODS(_xll.BTODAY(),"NUMBEROFPERIODS=-1","PER=Y"), "BETA_OVERRIDE_END_DT", _xll.BTODAY(), K$4, "BETA_OVERRIDE_PERIOD=D")</f>
        <v>0.42634929999999999</v>
      </c>
      <c r="L15" s="1" cm="1">
        <f t="array" ref="L15">_xll.BDP($A15, "BETA_ADJ_OVERRIDABLE", "BETA_OVERRIDE_START_DT", _xll.BADDPERIODS(_xll.BTODAY(),"NUMBEROFPERIODS=-1","PER=Y"), "BETA_OVERRIDE_END_DT", _xll.BTODAY(), L$4, "BETA_OVERRIDE_PERIOD=D")</f>
        <v>1.055064</v>
      </c>
      <c r="M15" s="1" cm="1">
        <f t="array" ref="M15">_xll.BDP($A15, "BETA_ADJ_OVERRIDABLE", "BETA_OVERRIDE_START_DT", _xll.BADDPERIODS(_xll.BTODAY(),"NUMBEROFPERIODS=-1","PER=Y"), "BETA_OVERRIDE_END_DT", _xll.BTODAY(), M$4, "BETA_OVERRIDE_PERIOD=D")</f>
        <v>0.47109509999999999</v>
      </c>
      <c r="N15" s="1" cm="1">
        <f t="array" ref="N15">_xll.BDP($A15, "BETA_ADJ_OVERRIDABLE", "BETA_OVERRIDE_START_DT", _xll.BADDPERIODS(_xll.BTODAY(),"NUMBEROFPERIODS=-1","PER=Y"), "BETA_OVERRIDE_END_DT", _xll.BTODAY(), N$4, "BETA_OVERRIDE_PERIOD=D")</f>
        <v>0.32197930000000002</v>
      </c>
      <c r="O15" s="1" cm="1">
        <f t="array" ref="O15">_xll.BDP($A15, "BETA_ADJ_OVERRIDABLE", "BETA_OVERRIDE_START_DT", _xll.BADDPERIODS(_xll.BTODAY(),"NUMBEROFPERIODS=-1","PER=Y"), "BETA_OVERRIDE_END_DT", _xll.BTODAY(), O$4, "BETA_OVERRIDE_PERIOD=D")</f>
        <v>0.36411870000000002</v>
      </c>
      <c r="P15" s="1" cm="1">
        <f t="array" ref="P15">_xll.BDP($A15, "BETA_ADJ_OVERRIDABLE", "BETA_OVERRIDE_START_DT", _xll.BADDPERIODS(_xll.BTODAY(),"NUMBEROFPERIODS=-1","PER=Y"), "BETA_OVERRIDE_END_DT", _xll.BTODAY(), P$4, "BETA_OVERRIDE_PERIOD=D")</f>
        <v>0.8780038</v>
      </c>
      <c r="Q15" s="1" cm="1">
        <f t="array" ref="Q15">_xll.BDP($A15, "BETA_ADJ_OVERRIDABLE", "BETA_OVERRIDE_START_DT", _xll.BADDPERIODS(_xll.BTODAY(),"NUMBEROFPERIODS=-1","PER=Y"), "BETA_OVERRIDE_END_DT", _xll.BTODAY(), Q$4, "BETA_OVERRIDE_PERIOD=D")</f>
        <v>2.831423</v>
      </c>
      <c r="R15" s="1" cm="1">
        <f t="array" ref="R15">_xll.BDP($A15, "BETA_ADJ_OVERRIDABLE", "BETA_OVERRIDE_START_DT", _xll.BADDPERIODS(_xll.BTODAY(),"NUMBEROFPERIODS=-1","PER=Y"), "BETA_OVERRIDE_END_DT", _xll.BTODAY(), R$4, "BETA_OVERRIDE_PERIOD=D")</f>
        <v>0.33141670000000001</v>
      </c>
      <c r="S15" s="1" cm="1">
        <f t="array" ref="S15">_xll.BDP($A15, "BETA_ADJ_OVERRIDABLE", "BETA_OVERRIDE_START_DT", _xll.BADDPERIODS(_xll.BTODAY(),"NUMBEROFPERIODS=-1","PER=Y"), "BETA_OVERRIDE_END_DT", _xll.BTODAY(), S$4, "BETA_OVERRIDE_PERIOD=D")</f>
        <v>0.86220399999999997</v>
      </c>
      <c r="T15" s="1" cm="1">
        <f t="array" ref="T15">_xll.BDP($A15, "BETA_ADJ_OVERRIDABLE", "BETA_OVERRIDE_START_DT", _xll.BADDPERIODS(_xll.BTODAY(),"NUMBEROFPERIODS=-1","PER=Y"), "BETA_OVERRIDE_END_DT", _xll.BTODAY(), T$4, "BETA_OVERRIDE_PERIOD=D")</f>
        <v>0.80229660000000003</v>
      </c>
      <c r="U15" s="1" cm="1">
        <f t="array" ref="U15">_xll.BDP($A15, "BETA_ADJ_OVERRIDABLE", "BETA_OVERRIDE_START_DT", _xll.BADDPERIODS(_xll.BTODAY(),"NUMBEROFPERIODS=-1","PER=Y"), "BETA_OVERRIDE_END_DT", _xll.BTODAY(), U$4, "BETA_OVERRIDE_PERIOD=D")</f>
        <v>0.32197930000000002</v>
      </c>
      <c r="V15" s="1" cm="1">
        <f t="array" ref="V15">_xll.BDP($A15, "BETA_ADJ_OVERRIDABLE", "BETA_OVERRIDE_START_DT", _xll.BADDPERIODS(_xll.BTODAY(),"NUMBEROFPERIODS=-1","PER=Y"), "BETA_OVERRIDE_END_DT", _xll.BTODAY(), V$4, "BETA_OVERRIDE_PERIOD=D")</f>
        <v>0.40363650000000001</v>
      </c>
      <c r="W15" s="1" cm="1">
        <f t="array" ref="W15">_xll.BDP($A15, "BETA_ADJ_OVERRIDABLE", "BETA_OVERRIDE_START_DT", _xll.BADDPERIODS(_xll.BTODAY(),"NUMBEROFPERIODS=-1","PER=Y"), "BETA_OVERRIDE_END_DT", _xll.BTODAY(), W$4, "BETA_OVERRIDE_PERIOD=D")</f>
        <v>0.4116109</v>
      </c>
      <c r="X15" s="1" cm="1">
        <f t="array" ref="X15">_xll.BDP($A15, "BETA_ADJ_OVERRIDABLE", "BETA_OVERRIDE_START_DT", _xll.BADDPERIODS(_xll.BTODAY(),"NUMBEROFPERIODS=-1","PER=Y"), "BETA_OVERRIDE_END_DT", _xll.BTODAY(), X$4, "BETA_OVERRIDE_PERIOD=D")</f>
        <v>0.35285339999999998</v>
      </c>
      <c r="Y15" s="1" cm="1">
        <f t="array" ref="Y15">_xll.BDP($A15, "BETA_ADJ_OVERRIDABLE", "BETA_OVERRIDE_START_DT", _xll.BADDPERIODS(_xll.BTODAY(),"NUMBEROFPERIODS=-1","PER=Y"), "BETA_OVERRIDE_END_DT", _xll.BTODAY(), Y$4, "BETA_OVERRIDE_PERIOD=D")</f>
        <v>0.3927756</v>
      </c>
      <c r="Z15" s="1" cm="1">
        <f t="array" ref="Z15">_xll.BDP($A15, "BETA_ADJ_OVERRIDABLE", "BETA_OVERRIDE_START_DT", _xll.BADDPERIODS(_xll.BTODAY(),"NUMBEROFPERIODS=-1","PER=Y"), "BETA_OVERRIDE_END_DT", _xll.BTODAY(), Z$4, "BETA_OVERRIDE_PERIOD=D")</f>
        <v>0.5854357</v>
      </c>
      <c r="AA15" s="1" cm="1">
        <f t="array" ref="AA15">_xll.BDP($A15, "BETA_ADJ_OVERRIDABLE", "BETA_OVERRIDE_START_DT", _xll.BADDPERIODS(_xll.BTODAY(),"NUMBEROFPERIODS=-1","PER=Y"), "BETA_OVERRIDE_END_DT", _xll.BTODAY(), AA$4, "BETA_OVERRIDE_PERIOD=D")</f>
        <v>0.49633769999999999</v>
      </c>
      <c r="AB15" s="1" cm="1">
        <f t="array" ref="AB15">_xll.BDP($A15, "BETA_ADJ_OVERRIDABLE", "BETA_OVERRIDE_START_DT", _xll.BADDPERIODS(_xll.BTODAY(),"NUMBEROFPERIODS=-1","PER=Y"), "BETA_OVERRIDE_END_DT", _xll.BTODAY(), AB$4, "BETA_OVERRIDE_PERIOD=D")</f>
        <v>0.40599030000000003</v>
      </c>
      <c r="AC15" s="1" cm="1">
        <f t="array" ref="AC15">_xll.BDP($A15, "BETA_ADJ_OVERRIDABLE", "BETA_OVERRIDE_START_DT", _xll.BADDPERIODS(_xll.BTODAY(),"NUMBEROFPERIODS=-1","PER=Y"), "BETA_OVERRIDE_END_DT", _xll.BTODAY(), AC$4, "BETA_OVERRIDE_PERIOD=D")</f>
        <v>0.21583040000000001</v>
      </c>
      <c r="AD15" s="1" cm="1">
        <f t="array" ref="AD15">_xll.BDP($A15, "BETA_ADJ_OVERRIDABLE", "BETA_OVERRIDE_START_DT", _xll.BADDPERIODS(_xll.BTODAY(),"NUMBEROFPERIODS=-1","PER=Y"), "BETA_OVERRIDE_END_DT", _xll.BTODAY(), AD$4, "BETA_OVERRIDE_PERIOD=D")</f>
        <v>0.55419220000000002</v>
      </c>
      <c r="AE15" s="1" cm="1">
        <f t="array" ref="AE15">_xll.BDP($A15, "BETA_ADJ_OVERRIDABLE", "BETA_OVERRIDE_START_DT", _xll.BADDPERIODS(_xll.BTODAY(),"NUMBEROFPERIODS=-1","PER=Y"), "BETA_OVERRIDE_END_DT", _xll.BTODAY(), AE$4, "BETA_OVERRIDE_PERIOD=D")</f>
        <v>0.53312910000000002</v>
      </c>
      <c r="AF15" s="1" cm="1">
        <f t="array" ref="AF15">_xll.BDP($A15, "BETA_ADJ_OVERRIDABLE", "BETA_OVERRIDE_START_DT", _xll.BADDPERIODS(_xll.BTODAY(),"NUMBEROFPERIODS=-1","PER=Y"), "BETA_OVERRIDE_END_DT", _xll.BTODAY(), AF$4, "BETA_OVERRIDE_PERIOD=D")</f>
        <v>0.20124449999999999</v>
      </c>
      <c r="AG15" s="1" cm="1">
        <f t="array" ref="AG15">_xll.BDP($A15, "BETA_ADJ_OVERRIDABLE", "BETA_OVERRIDE_START_DT", _xll.BADDPERIODS(_xll.BTODAY(),"NUMBEROFPERIODS=-1","PER=Y"), "BETA_OVERRIDE_END_DT", _xll.BTODAY(), AG$4, "BETA_OVERRIDE_PERIOD=D")</f>
        <v>0.2471024</v>
      </c>
      <c r="AH15" s="1" cm="1">
        <f t="array" ref="AH15">_xll.BDP($A15, "BETA_ADJ_OVERRIDABLE", "BETA_OVERRIDE_START_DT", _xll.BADDPERIODS(_xll.BTODAY(),"NUMBEROFPERIODS=-1","PER=Y"), "BETA_OVERRIDE_END_DT", _xll.BTODAY(), AH$4, "BETA_OVERRIDE_PERIOD=D")</f>
        <v>0.46002559999999998</v>
      </c>
      <c r="AI15" s="1" cm="1">
        <f t="array" ref="AI15">_xll.BDP($A15, "BETA_ADJ_OVERRIDABLE", "BETA_OVERRIDE_START_DT", _xll.BADDPERIODS(_xll.BTODAY(),"NUMBEROFPERIODS=-1","PER=Y"), "BETA_OVERRIDE_END_DT", _xll.BTODAY(), AI$4, "BETA_OVERRIDE_PERIOD=D")</f>
        <v>0.41125810000000002</v>
      </c>
      <c r="AJ15" s="1" cm="1">
        <f t="array" ref="AJ15">_xll.BDP($A15, "BETA_ADJ_OVERRIDABLE", "BETA_OVERRIDE_START_DT", _xll.BADDPERIODS(_xll.BTODAY(),"NUMBEROFPERIODS=-1","PER=Y"), "BETA_OVERRIDE_END_DT", _xll.BTODAY(), AJ$4, "BETA_OVERRIDE_PERIOD=D")</f>
        <v>0.42476560000000002</v>
      </c>
      <c r="AK15" s="1" cm="1">
        <f t="array" ref="AK15">_xll.BDP($A15, "BETA_ADJ_OVERRIDABLE", "BETA_OVERRIDE_START_DT", _xll.BADDPERIODS(_xll.BTODAY(),"NUMBEROFPERIODS=-1","PER=Y"), "BETA_OVERRIDE_END_DT", _xll.BTODAY(), AK$4, "BETA_OVERRIDE_PERIOD=D")</f>
        <v>0.83108740000000003</v>
      </c>
      <c r="AL15" s="1" cm="1">
        <f t="array" ref="AL15">_xll.BDP($A15, "BETA_ADJ_OVERRIDABLE", "BETA_OVERRIDE_START_DT", _xll.BADDPERIODS(_xll.BTODAY(),"NUMBEROFPERIODS=-1","PER=Y"), "BETA_OVERRIDE_END_DT", _xll.BTODAY(), AL$4, "BETA_OVERRIDE_PERIOD=D")</f>
        <v>0.91370660000000004</v>
      </c>
      <c r="AM15" s="1" cm="1">
        <f t="array" ref="AM15">_xll.BDP($A15, "BETA_ADJ_OVERRIDABLE", "BETA_OVERRIDE_START_DT", _xll.BADDPERIODS(_xll.BTODAY(),"NUMBEROFPERIODS=-1","PER=Y"), "BETA_OVERRIDE_END_DT", _xll.BTODAY(), AM$4, "BETA_OVERRIDE_PERIOD=D")</f>
        <v>0.90587110000000004</v>
      </c>
    </row>
    <row r="16" spans="1:39" x14ac:dyDescent="0.25">
      <c r="A16" t="s">
        <v>52</v>
      </c>
      <c r="B16" s="1" cm="1">
        <f t="array" ref="B16">_xll.BDP($A16, "BETA_ADJ_OVERRIDABLE", "BETA_OVERRIDE_START_DT", _xll.BADDPERIODS(_xll.BTODAY(),"NUMBEROFPERIODS=-5","PER=Y"), "BETA_OVERRIDE_END_DT", _xll.BTODAY(), B$4, "BETA_OVERRIDE_PERIOD=M")</f>
        <v>1.0775049999999999</v>
      </c>
      <c r="C16" s="1" cm="1">
        <f t="array" ref="C16">_xll.BDP($A16, "BETA_ADJ_OVERRIDABLE", "BETA_OVERRIDE_START_DT", _xll.BADDPERIODS(_xll.BTODAY(),"NUMBEROFPERIODS=-3","PER=Y"), "BETA_OVERRIDE_END_DT", _xll.BTODAY(), C$4, "BETA_OVERRIDE_PERIOD=W")</f>
        <v>1.1071230000000001</v>
      </c>
      <c r="D16" s="1" cm="1">
        <f t="array" ref="D16">_xll.BDP($A16, "BETA_ADJ_OVERRIDABLE", "BETA_OVERRIDE_START_DT", _xll.BADDPERIODS(_xll.BTODAY(),"NUMBEROFPERIODS=-1","PER=Y"), "BETA_OVERRIDE_END_DT", _xll.BTODAY(), D$4, "BETA_OVERRIDE_PERIOD=D")</f>
        <v>1.113364</v>
      </c>
      <c r="E16" s="1" cm="1">
        <f t="array" ref="E16">_xll.BDP($A16, "BETA_ADJ_OVERRIDABLE", "BETA_OVERRIDE_START_DT", _xll.BADDPERIODS(_xll.BTODAY(),"NUMBEROFPERIODS=-1","PER=Y"), "BETA_OVERRIDE_END_DT", _xll.BTODAY(), E$4, "BETA_OVERRIDE_PERIOD=D")</f>
        <v>0.93413930000000001</v>
      </c>
      <c r="F16" s="1" cm="1">
        <f t="array" ref="F16">_xll.BDP($A16, "BETA_ADJ_OVERRIDABLE", "BETA_OVERRIDE_START_DT", _xll.BADDPERIODS(_xll.BTODAY(),"NUMBEROFPERIODS=-1","PER=Y"), "BETA_OVERRIDE_END_DT", _xll.BTODAY(), F$4, "BETA_OVERRIDE_PERIOD=D")</f>
        <v>0.86264039999999997</v>
      </c>
      <c r="G16" s="1" cm="1">
        <f t="array" ref="G16">_xll.BDP($A16, "BETA_ADJ_OVERRIDABLE", "BETA_OVERRIDE_START_DT", _xll.BADDPERIODS(_xll.BTODAY(),"NUMBEROFPERIODS=-1","PER=Y"), "BETA_OVERRIDE_END_DT", _xll.BTODAY(), G$4, "BETA_OVERRIDE_PERIOD=D")</f>
        <v>0.95685489999999995</v>
      </c>
      <c r="H16" s="1" cm="1">
        <f t="array" ref="H16">_xll.BDP($A16, "BETA_ADJ_OVERRIDABLE", "BETA_OVERRIDE_START_DT", _xll.BADDPERIODS(_xll.BTODAY(),"NUMBEROFPERIODS=-1","PER=Y"), "BETA_OVERRIDE_END_DT", _xll.BTODAY(), H$4, "BETA_OVERRIDE_PERIOD=D")</f>
        <v>1.100185</v>
      </c>
      <c r="I16" s="1" cm="1">
        <f t="array" ref="I16">_xll.BDP($A16, "BETA_ADJ_OVERRIDABLE", "BETA_OVERRIDE_START_DT", _xll.BADDPERIODS(_xll.BTODAY(),"NUMBEROFPERIODS=-1","PER=Y"), "BETA_OVERRIDE_END_DT", _xll.BTODAY(), I$4, "BETA_OVERRIDE_PERIOD=D")</f>
        <v>0.95897810000000006</v>
      </c>
      <c r="J16" s="1" cm="1">
        <f t="array" ref="J16">_xll.BDP($A16, "BETA_ADJ_OVERRIDABLE", "BETA_OVERRIDE_START_DT", _xll.BADDPERIODS(_xll.BTODAY(),"NUMBEROFPERIODS=-1","PER=Y"), "BETA_OVERRIDE_END_DT", _xll.BTODAY(), J$4, "BETA_OVERRIDE_PERIOD=D")</f>
        <v>0.41699429999999998</v>
      </c>
      <c r="K16" s="1" cm="1">
        <f t="array" ref="K16">_xll.BDP($A16, "BETA_ADJ_OVERRIDABLE", "BETA_OVERRIDE_START_DT", _xll.BADDPERIODS(_xll.BTODAY(),"NUMBEROFPERIODS=-1","PER=Y"), "BETA_OVERRIDE_END_DT", _xll.BTODAY(), K$4, "BETA_OVERRIDE_PERIOD=D")</f>
        <v>0.44074550000000001</v>
      </c>
      <c r="L16" s="1" cm="1">
        <f t="array" ref="L16">_xll.BDP($A16, "BETA_ADJ_OVERRIDABLE", "BETA_OVERRIDE_START_DT", _xll.BADDPERIODS(_xll.BTODAY(),"NUMBEROFPERIODS=-1","PER=Y"), "BETA_OVERRIDE_END_DT", _xll.BTODAY(), L$4, "BETA_OVERRIDE_PERIOD=D")</f>
        <v>1.266543</v>
      </c>
      <c r="M16" s="1" cm="1">
        <f t="array" ref="M16">_xll.BDP($A16, "BETA_ADJ_OVERRIDABLE", "BETA_OVERRIDE_START_DT", _xll.BADDPERIODS(_xll.BTODAY(),"NUMBEROFPERIODS=-1","PER=Y"), "BETA_OVERRIDE_END_DT", _xll.BTODAY(), M$4, "BETA_OVERRIDE_PERIOD=D")</f>
        <v>0.5735981</v>
      </c>
      <c r="N16" s="1" cm="1">
        <f t="array" ref="N16">_xll.BDP($A16, "BETA_ADJ_OVERRIDABLE", "BETA_OVERRIDE_START_DT", _xll.BADDPERIODS(_xll.BTODAY(),"NUMBEROFPERIODS=-1","PER=Y"), "BETA_OVERRIDE_END_DT", _xll.BTODAY(), N$4, "BETA_OVERRIDE_PERIOD=D")</f>
        <v>0.4038793</v>
      </c>
      <c r="O16" s="1" cm="1">
        <f t="array" ref="O16">_xll.BDP($A16, "BETA_ADJ_OVERRIDABLE", "BETA_OVERRIDE_START_DT", _xll.BADDPERIODS(_xll.BTODAY(),"NUMBEROFPERIODS=-1","PER=Y"), "BETA_OVERRIDE_END_DT", _xll.BTODAY(), O$4, "BETA_OVERRIDE_PERIOD=D")</f>
        <v>3.6569319999999999E-3</v>
      </c>
      <c r="P16" s="1" cm="1">
        <f t="array" ref="P16">_xll.BDP($A16, "BETA_ADJ_OVERRIDABLE", "BETA_OVERRIDE_START_DT", _xll.BADDPERIODS(_xll.BTODAY(),"NUMBEROFPERIODS=-1","PER=Y"), "BETA_OVERRIDE_END_DT", _xll.BTODAY(), P$4, "BETA_OVERRIDE_PERIOD=D")</f>
        <v>0.69932939999999999</v>
      </c>
      <c r="Q16" s="1" cm="1">
        <f t="array" ref="Q16">_xll.BDP($A16, "BETA_ADJ_OVERRIDABLE", "BETA_OVERRIDE_START_DT", _xll.BADDPERIODS(_xll.BTODAY(),"NUMBEROFPERIODS=-1","PER=Y"), "BETA_OVERRIDE_END_DT", _xll.BTODAY(), Q$4, "BETA_OVERRIDE_PERIOD=D")</f>
        <v>3.247414</v>
      </c>
      <c r="R16" s="1" cm="1">
        <f t="array" ref="R16">_xll.BDP($A16, "BETA_ADJ_OVERRIDABLE", "BETA_OVERRIDE_START_DT", _xll.BADDPERIODS(_xll.BTODAY(),"NUMBEROFPERIODS=-1","PER=Y"), "BETA_OVERRIDE_END_DT", _xll.BTODAY(), R$4, "BETA_OVERRIDE_PERIOD=D")</f>
        <v>5.8124509999999997E-2</v>
      </c>
      <c r="S16" s="1" cm="1">
        <f t="array" ref="S16">_xll.BDP($A16, "BETA_ADJ_OVERRIDABLE", "BETA_OVERRIDE_START_DT", _xll.BADDPERIODS(_xll.BTODAY(),"NUMBEROFPERIODS=-1","PER=Y"), "BETA_OVERRIDE_END_DT", _xll.BTODAY(), S$4, "BETA_OVERRIDE_PERIOD=D")</f>
        <v>0.76888500000000004</v>
      </c>
      <c r="T16" s="1" cm="1">
        <f t="array" ref="T16">_xll.BDP($A16, "BETA_ADJ_OVERRIDABLE", "BETA_OVERRIDE_START_DT", _xll.BADDPERIODS(_xll.BTODAY(),"NUMBEROFPERIODS=-1","PER=Y"), "BETA_OVERRIDE_END_DT", _xll.BTODAY(), T$4, "BETA_OVERRIDE_PERIOD=D")</f>
        <v>0.52147310000000002</v>
      </c>
      <c r="U16" s="1" cm="1">
        <f t="array" ref="U16">_xll.BDP($A16, "BETA_ADJ_OVERRIDABLE", "BETA_OVERRIDE_START_DT", _xll.BADDPERIODS(_xll.BTODAY(),"NUMBEROFPERIODS=-1","PER=Y"), "BETA_OVERRIDE_END_DT", _xll.BTODAY(), U$4, "BETA_OVERRIDE_PERIOD=D")</f>
        <v>0.4038793</v>
      </c>
      <c r="V16" s="1" cm="1">
        <f t="array" ref="V16">_xll.BDP($A16, "BETA_ADJ_OVERRIDABLE", "BETA_OVERRIDE_START_DT", _xll.BADDPERIODS(_xll.BTODAY(),"NUMBEROFPERIODS=-1","PER=Y"), "BETA_OVERRIDE_END_DT", _xll.BTODAY(), V$4, "BETA_OVERRIDE_PERIOD=D")</f>
        <v>0.4436175</v>
      </c>
      <c r="W16" s="1" cm="1">
        <f t="array" ref="W16">_xll.BDP($A16, "BETA_ADJ_OVERRIDABLE", "BETA_OVERRIDE_START_DT", _xll.BADDPERIODS(_xll.BTODAY(),"NUMBEROFPERIODS=-1","PER=Y"), "BETA_OVERRIDE_END_DT", _xll.BTODAY(), W$4, "BETA_OVERRIDE_PERIOD=D")</f>
        <v>0.45186809999999999</v>
      </c>
      <c r="X16" s="1" cm="1">
        <f t="array" ref="X16">_xll.BDP($A16, "BETA_ADJ_OVERRIDABLE", "BETA_OVERRIDE_START_DT", _xll.BADDPERIODS(_xll.BTODAY(),"NUMBEROFPERIODS=-1","PER=Y"), "BETA_OVERRIDE_END_DT", _xll.BTODAY(), X$4, "BETA_OVERRIDE_PERIOD=D")</f>
        <v>0.3526705</v>
      </c>
      <c r="Y16" s="1" cm="1">
        <f t="array" ref="Y16">_xll.BDP($A16, "BETA_ADJ_OVERRIDABLE", "BETA_OVERRIDE_START_DT", _xll.BADDPERIODS(_xll.BTODAY(),"NUMBEROFPERIODS=-1","PER=Y"), "BETA_OVERRIDE_END_DT", _xll.BTODAY(), Y$4, "BETA_OVERRIDE_PERIOD=D")</f>
        <v>0.390571</v>
      </c>
      <c r="Z16" s="1" cm="1">
        <f t="array" ref="Z16">_xll.BDP($A16, "BETA_ADJ_OVERRIDABLE", "BETA_OVERRIDE_START_DT", _xll.BADDPERIODS(_xll.BTODAY(),"NUMBEROFPERIODS=-1","PER=Y"), "BETA_OVERRIDE_END_DT", _xll.BTODAY(), Z$4, "BETA_OVERRIDE_PERIOD=D")</f>
        <v>0.65178230000000004</v>
      </c>
      <c r="AA16" s="1" cm="1">
        <f t="array" ref="AA16">_xll.BDP($A16, "BETA_ADJ_OVERRIDABLE", "BETA_OVERRIDE_START_DT", _xll.BADDPERIODS(_xll.BTODAY(),"NUMBEROFPERIODS=-1","PER=Y"), "BETA_OVERRIDE_END_DT", _xll.BTODAY(), AA$4, "BETA_OVERRIDE_PERIOD=D")</f>
        <v>0.5362943</v>
      </c>
      <c r="AB16" s="1" cm="1">
        <f t="array" ref="AB16">_xll.BDP($A16, "BETA_ADJ_OVERRIDABLE", "BETA_OVERRIDE_START_DT", _xll.BADDPERIODS(_xll.BTODAY(),"NUMBEROFPERIODS=-1","PER=Y"), "BETA_OVERRIDE_END_DT", _xll.BTODAY(), AB$4, "BETA_OVERRIDE_PERIOD=D")</f>
        <v>0.54982980000000004</v>
      </c>
      <c r="AC16" s="1" cm="1">
        <f t="array" ref="AC16">_xll.BDP($A16, "BETA_ADJ_OVERRIDABLE", "BETA_OVERRIDE_START_DT", _xll.BADDPERIODS(_xll.BTODAY(),"NUMBEROFPERIODS=-1","PER=Y"), "BETA_OVERRIDE_END_DT", _xll.BTODAY(), AC$4, "BETA_OVERRIDE_PERIOD=D")</f>
        <v>9.803634E-2</v>
      </c>
      <c r="AD16" s="1" cm="1">
        <f t="array" ref="AD16">_xll.BDP($A16, "BETA_ADJ_OVERRIDABLE", "BETA_OVERRIDE_START_DT", _xll.BADDPERIODS(_xll.BTODAY(),"NUMBEROFPERIODS=-1","PER=Y"), "BETA_OVERRIDE_END_DT", _xll.BTODAY(), AD$4, "BETA_OVERRIDE_PERIOD=D")</f>
        <v>0.76560899999999998</v>
      </c>
      <c r="AE16" s="1" cm="1">
        <f t="array" ref="AE16">_xll.BDP($A16, "BETA_ADJ_OVERRIDABLE", "BETA_OVERRIDE_START_DT", _xll.BADDPERIODS(_xll.BTODAY(),"NUMBEROFPERIODS=-1","PER=Y"), "BETA_OVERRIDE_END_DT", _xll.BTODAY(), AE$4, "BETA_OVERRIDE_PERIOD=D")</f>
        <v>0.48444939999999997</v>
      </c>
      <c r="AF16" s="1" cm="1">
        <f t="array" ref="AF16">_xll.BDP($A16, "BETA_ADJ_OVERRIDABLE", "BETA_OVERRIDE_START_DT", _xll.BADDPERIODS(_xll.BTODAY(),"NUMBEROFPERIODS=-1","PER=Y"), "BETA_OVERRIDE_END_DT", _xll.BTODAY(), AF$4, "BETA_OVERRIDE_PERIOD=D")</f>
        <v>0.1295258</v>
      </c>
      <c r="AG16" s="1" cm="1">
        <f t="array" ref="AG16">_xll.BDP($A16, "BETA_ADJ_OVERRIDABLE", "BETA_OVERRIDE_START_DT", _xll.BADDPERIODS(_xll.BTODAY(),"NUMBEROFPERIODS=-1","PER=Y"), "BETA_OVERRIDE_END_DT", _xll.BTODAY(), AG$4, "BETA_OVERRIDE_PERIOD=D")</f>
        <v>0.11412120000000001</v>
      </c>
      <c r="AH16" s="1" cm="1">
        <f t="array" ref="AH16">_xll.BDP($A16, "BETA_ADJ_OVERRIDABLE", "BETA_OVERRIDE_START_DT", _xll.BADDPERIODS(_xll.BTODAY(),"NUMBEROFPERIODS=-1","PER=Y"), "BETA_OVERRIDE_END_DT", _xll.BTODAY(), AH$4, "BETA_OVERRIDE_PERIOD=D")</f>
        <v>0.4952917</v>
      </c>
      <c r="AI16" s="1" cm="1">
        <f t="array" ref="AI16">_xll.BDP($A16, "BETA_ADJ_OVERRIDABLE", "BETA_OVERRIDE_START_DT", _xll.BADDPERIODS(_xll.BTODAY(),"NUMBEROFPERIODS=-1","PER=Y"), "BETA_OVERRIDE_END_DT", _xll.BTODAY(), AI$4, "BETA_OVERRIDE_PERIOD=D")</f>
        <v>0.43767159999999999</v>
      </c>
      <c r="AJ16" s="1" cm="1">
        <f t="array" ref="AJ16">_xll.BDP($A16, "BETA_ADJ_OVERRIDABLE", "BETA_OVERRIDE_START_DT", _xll.BADDPERIODS(_xll.BTODAY(),"NUMBEROFPERIODS=-1","PER=Y"), "BETA_OVERRIDE_END_DT", _xll.BTODAY(), AJ$4, "BETA_OVERRIDE_PERIOD=D")</f>
        <v>0.44980360000000003</v>
      </c>
      <c r="AK16" s="1" cm="1">
        <f t="array" ref="AK16">_xll.BDP($A16, "BETA_ADJ_OVERRIDABLE", "BETA_OVERRIDE_START_DT", _xll.BADDPERIODS(_xll.BTODAY(),"NUMBEROFPERIODS=-1","PER=Y"), "BETA_OVERRIDE_END_DT", _xll.BTODAY(), AK$4, "BETA_OVERRIDE_PERIOD=D")</f>
        <v>0.79407190000000005</v>
      </c>
      <c r="AL16" s="1" cm="1">
        <f t="array" ref="AL16">_xll.BDP($A16, "BETA_ADJ_OVERRIDABLE", "BETA_OVERRIDE_START_DT", _xll.BADDPERIODS(_xll.BTODAY(),"NUMBEROFPERIODS=-1","PER=Y"), "BETA_OVERRIDE_END_DT", _xll.BTODAY(), AL$4, "BETA_OVERRIDE_PERIOD=D")</f>
        <v>0.83436259999999995</v>
      </c>
      <c r="AM16" s="1" cm="1">
        <f t="array" ref="AM16">_xll.BDP($A16, "BETA_ADJ_OVERRIDABLE", "BETA_OVERRIDE_START_DT", _xll.BADDPERIODS(_xll.BTODAY(),"NUMBEROFPERIODS=-1","PER=Y"), "BETA_OVERRIDE_END_DT", _xll.BTODAY(), AM$4, "BETA_OVERRIDE_PERIOD=D")</f>
        <v>0.92395389999999999</v>
      </c>
    </row>
    <row r="17" spans="1:39" x14ac:dyDescent="0.25">
      <c r="A17" t="s">
        <v>53</v>
      </c>
      <c r="B17" s="1" cm="1">
        <f t="array" ref="B17">_xll.BDP($A17, "BETA_ADJ_OVERRIDABLE", "BETA_OVERRIDE_START_DT", _xll.BADDPERIODS(_xll.BTODAY(),"NUMBEROFPERIODS=-5","PER=Y"), "BETA_OVERRIDE_END_DT", _xll.BTODAY(), B$4, "BETA_OVERRIDE_PERIOD=M")</f>
        <v>0.87533559999999999</v>
      </c>
      <c r="C17" s="1" cm="1">
        <f t="array" ref="C17">_xll.BDP($A17, "BETA_ADJ_OVERRIDABLE", "BETA_OVERRIDE_START_DT", _xll.BADDPERIODS(_xll.BTODAY(),"NUMBEROFPERIODS=-3","PER=Y"), "BETA_OVERRIDE_END_DT", _xll.BTODAY(), C$4, "BETA_OVERRIDE_PERIOD=W")</f>
        <v>0.72059530000000005</v>
      </c>
      <c r="D17" s="1" cm="1">
        <f t="array" ref="D17">_xll.BDP($A17, "BETA_ADJ_OVERRIDABLE", "BETA_OVERRIDE_START_DT", _xll.BADDPERIODS(_xll.BTODAY(),"NUMBEROFPERIODS=-1","PER=Y"), "BETA_OVERRIDE_END_DT", _xll.BTODAY(), D$4, "BETA_OVERRIDE_PERIOD=D")</f>
        <v>0.63397150000000002</v>
      </c>
      <c r="E17" s="1" cm="1">
        <f t="array" ref="E17">_xll.BDP($A17, "BETA_ADJ_OVERRIDABLE", "BETA_OVERRIDE_START_DT", _xll.BADDPERIODS(_xll.BTODAY(),"NUMBEROFPERIODS=-1","PER=Y"), "BETA_OVERRIDE_END_DT", _xll.BTODAY(), E$4, "BETA_OVERRIDE_PERIOD=D")</f>
        <v>0.59969430000000001</v>
      </c>
      <c r="F17" s="1" cm="1">
        <f t="array" ref="F17">_xll.BDP($A17, "BETA_ADJ_OVERRIDABLE", "BETA_OVERRIDE_START_DT", _xll.BADDPERIODS(_xll.BTODAY(),"NUMBEROFPERIODS=-1","PER=Y"), "BETA_OVERRIDE_END_DT", _xll.BTODAY(), F$4, "BETA_OVERRIDE_PERIOD=D")</f>
        <v>0.55199180000000003</v>
      </c>
      <c r="G17" s="1" cm="1">
        <f t="array" ref="G17">_xll.BDP($A17, "BETA_ADJ_OVERRIDABLE", "BETA_OVERRIDE_START_DT", _xll.BADDPERIODS(_xll.BTODAY(),"NUMBEROFPERIODS=-1","PER=Y"), "BETA_OVERRIDE_END_DT", _xll.BTODAY(), G$4, "BETA_OVERRIDE_PERIOD=D")</f>
        <v>0.52279949999999997</v>
      </c>
      <c r="H17" s="1" cm="1">
        <f t="array" ref="H17">_xll.BDP($A17, "BETA_ADJ_OVERRIDABLE", "BETA_OVERRIDE_START_DT", _xll.BADDPERIODS(_xll.BTODAY(),"NUMBEROFPERIODS=-1","PER=Y"), "BETA_OVERRIDE_END_DT", _xll.BTODAY(), H$4, "BETA_OVERRIDE_PERIOD=D")</f>
        <v>0.77825759999999999</v>
      </c>
      <c r="I17" s="1" cm="1">
        <f t="array" ref="I17">_xll.BDP($A17, "BETA_ADJ_OVERRIDABLE", "BETA_OVERRIDE_START_DT", _xll.BADDPERIODS(_xll.BTODAY(),"NUMBEROFPERIODS=-1","PER=Y"), "BETA_OVERRIDE_END_DT", _xll.BTODAY(), I$4, "BETA_OVERRIDE_PERIOD=D")</f>
        <v>0.5168275</v>
      </c>
      <c r="J17" s="1" cm="1">
        <f t="array" ref="J17">_xll.BDP($A17, "BETA_ADJ_OVERRIDABLE", "BETA_OVERRIDE_START_DT", _xll.BADDPERIODS(_xll.BTODAY(),"NUMBEROFPERIODS=-1","PER=Y"), "BETA_OVERRIDE_END_DT", _xll.BTODAY(), J$4, "BETA_OVERRIDE_PERIOD=D")</f>
        <v>0.4487254</v>
      </c>
      <c r="K17" s="1" cm="1">
        <f t="array" ref="K17">_xll.BDP($A17, "BETA_ADJ_OVERRIDABLE", "BETA_OVERRIDE_START_DT", _xll.BADDPERIODS(_xll.BTODAY(),"NUMBEROFPERIODS=-1","PER=Y"), "BETA_OVERRIDE_END_DT", _xll.BTODAY(), K$4, "BETA_OVERRIDE_PERIOD=D")</f>
        <v>0.36579800000000001</v>
      </c>
      <c r="L17" s="1" cm="1">
        <f t="array" ref="L17">_xll.BDP($A17, "BETA_ADJ_OVERRIDABLE", "BETA_OVERRIDE_START_DT", _xll.BADDPERIODS(_xll.BTODAY(),"NUMBEROFPERIODS=-1","PER=Y"), "BETA_OVERRIDE_END_DT", _xll.BTODAY(), L$4, "BETA_OVERRIDE_PERIOD=D")</f>
        <v>0.72171050000000003</v>
      </c>
      <c r="M17" s="1" cm="1">
        <f t="array" ref="M17">_xll.BDP($A17, "BETA_ADJ_OVERRIDABLE", "BETA_OVERRIDE_START_DT", _xll.BADDPERIODS(_xll.BTODAY(),"NUMBEROFPERIODS=-1","PER=Y"), "BETA_OVERRIDE_END_DT", _xll.BTODAY(), M$4, "BETA_OVERRIDE_PERIOD=D")</f>
        <v>0.35410540000000001</v>
      </c>
      <c r="N17" s="1" cm="1">
        <f t="array" ref="N17">_xll.BDP($A17, "BETA_ADJ_OVERRIDABLE", "BETA_OVERRIDE_START_DT", _xll.BADDPERIODS(_xll.BTODAY(),"NUMBEROFPERIODS=-1","PER=Y"), "BETA_OVERRIDE_END_DT", _xll.BTODAY(), N$4, "BETA_OVERRIDE_PERIOD=D")</f>
        <v>0.25430950000000002</v>
      </c>
      <c r="O17" s="1" cm="1">
        <f t="array" ref="O17">_xll.BDP($A17, "BETA_ADJ_OVERRIDABLE", "BETA_OVERRIDE_START_DT", _xll.BADDPERIODS(_xll.BTODAY(),"NUMBEROFPERIODS=-1","PER=Y"), "BETA_OVERRIDE_END_DT", _xll.BTODAY(), O$4, "BETA_OVERRIDE_PERIOD=D")</f>
        <v>0.72508130000000004</v>
      </c>
      <c r="P17" s="1" cm="1">
        <f t="array" ref="P17">_xll.BDP($A17, "BETA_ADJ_OVERRIDABLE", "BETA_OVERRIDE_START_DT", _xll.BADDPERIODS(_xll.BTODAY(),"NUMBEROFPERIODS=-1","PER=Y"), "BETA_OVERRIDE_END_DT", _xll.BTODAY(), P$4, "BETA_OVERRIDE_PERIOD=D")</f>
        <v>0.89768740000000002</v>
      </c>
      <c r="Q17" s="1" cm="1">
        <f t="array" ref="Q17">_xll.BDP($A17, "BETA_ADJ_OVERRIDABLE", "BETA_OVERRIDE_START_DT", _xll.BADDPERIODS(_xll.BTODAY(),"NUMBEROFPERIODS=-1","PER=Y"), "BETA_OVERRIDE_END_DT", _xll.BTODAY(), Q$4, "BETA_OVERRIDE_PERIOD=D")</f>
        <v>1.615901</v>
      </c>
      <c r="R17" s="1" cm="1">
        <f t="array" ref="R17">_xll.BDP($A17, "BETA_ADJ_OVERRIDABLE", "BETA_OVERRIDE_START_DT", _xll.BADDPERIODS(_xll.BTODAY(),"NUMBEROFPERIODS=-1","PER=Y"), "BETA_OVERRIDE_END_DT", _xll.BTODAY(), R$4, "BETA_OVERRIDE_PERIOD=D")</f>
        <v>0.67826960000000003</v>
      </c>
      <c r="S17" s="1" cm="1">
        <f t="array" ref="S17">_xll.BDP($A17, "BETA_ADJ_OVERRIDABLE", "BETA_OVERRIDE_START_DT", _xll.BADDPERIODS(_xll.BTODAY(),"NUMBEROFPERIODS=-1","PER=Y"), "BETA_OVERRIDE_END_DT", _xll.BTODAY(), S$4, "BETA_OVERRIDE_PERIOD=D")</f>
        <v>0.7396102</v>
      </c>
      <c r="T17" s="1" cm="1">
        <f t="array" ref="T17">_xll.BDP($A17, "BETA_ADJ_OVERRIDABLE", "BETA_OVERRIDE_START_DT", _xll.BADDPERIODS(_xll.BTODAY(),"NUMBEROFPERIODS=-1","PER=Y"), "BETA_OVERRIDE_END_DT", _xll.BTODAY(), T$4, "BETA_OVERRIDE_PERIOD=D")</f>
        <v>0.95408029999999999</v>
      </c>
      <c r="U17" s="1" cm="1">
        <f t="array" ref="U17">_xll.BDP($A17, "BETA_ADJ_OVERRIDABLE", "BETA_OVERRIDE_START_DT", _xll.BADDPERIODS(_xll.BTODAY(),"NUMBEROFPERIODS=-1","PER=Y"), "BETA_OVERRIDE_END_DT", _xll.BTODAY(), U$4, "BETA_OVERRIDE_PERIOD=D")</f>
        <v>0.25430950000000002</v>
      </c>
      <c r="V17" s="1" cm="1">
        <f t="array" ref="V17">_xll.BDP($A17, "BETA_ADJ_OVERRIDABLE", "BETA_OVERRIDE_START_DT", _xll.BADDPERIODS(_xll.BTODAY(),"NUMBEROFPERIODS=-1","PER=Y"), "BETA_OVERRIDE_END_DT", _xll.BTODAY(), V$4, "BETA_OVERRIDE_PERIOD=D")</f>
        <v>0.33839839999999999</v>
      </c>
      <c r="W17" s="1" cm="1">
        <f t="array" ref="W17">_xll.BDP($A17, "BETA_ADJ_OVERRIDABLE", "BETA_OVERRIDE_START_DT", _xll.BADDPERIODS(_xll.BTODAY(),"NUMBEROFPERIODS=-1","PER=Y"), "BETA_OVERRIDE_END_DT", _xll.BTODAY(), W$4, "BETA_OVERRIDE_PERIOD=D")</f>
        <v>0.33925460000000002</v>
      </c>
      <c r="X17" s="1" cm="1">
        <f t="array" ref="X17">_xll.BDP($A17, "BETA_ADJ_OVERRIDABLE", "BETA_OVERRIDE_START_DT", _xll.BADDPERIODS(_xll.BTODAY(),"NUMBEROFPERIODS=-1","PER=Y"), "BETA_OVERRIDE_END_DT", _xll.BTODAY(), X$4, "BETA_OVERRIDE_PERIOD=D")</f>
        <v>0.39595829999999999</v>
      </c>
      <c r="Y17" s="1" cm="1">
        <f t="array" ref="Y17">_xll.BDP($A17, "BETA_ADJ_OVERRIDABLE", "BETA_OVERRIDE_START_DT", _xll.BADDPERIODS(_xll.BTODAY(),"NUMBEROFPERIODS=-1","PER=Y"), "BETA_OVERRIDE_END_DT", _xll.BTODAY(), Y$4, "BETA_OVERRIDE_PERIOD=D")</f>
        <v>0.37827040000000001</v>
      </c>
      <c r="Z17" s="1" cm="1">
        <f t="array" ref="Z17">_xll.BDP($A17, "BETA_ADJ_OVERRIDABLE", "BETA_OVERRIDE_START_DT", _xll.BADDPERIODS(_xll.BTODAY(),"NUMBEROFPERIODS=-1","PER=Y"), "BETA_OVERRIDE_END_DT", _xll.BTODAY(), Z$4, "BETA_OVERRIDE_PERIOD=D")</f>
        <v>0.46243190000000001</v>
      </c>
      <c r="AA17" s="1" cm="1">
        <f t="array" ref="AA17">_xll.BDP($A17, "BETA_ADJ_OVERRIDABLE", "BETA_OVERRIDE_START_DT", _xll.BADDPERIODS(_xll.BTODAY(),"NUMBEROFPERIODS=-1","PER=Y"), "BETA_OVERRIDE_END_DT", _xll.BTODAY(), AA$4, "BETA_OVERRIDE_PERIOD=D")</f>
        <v>0.39674589999999998</v>
      </c>
      <c r="AB17" s="1" cm="1">
        <f t="array" ref="AB17">_xll.BDP($A17, "BETA_ADJ_OVERRIDABLE", "BETA_OVERRIDE_START_DT", _xll.BADDPERIODS(_xll.BTODAY(),"NUMBEROFPERIODS=-1","PER=Y"), "BETA_OVERRIDE_END_DT", _xll.BTODAY(), AB$4, "BETA_OVERRIDE_PERIOD=D")</f>
        <v>0.20089419999999999</v>
      </c>
      <c r="AC17" s="1" cm="1">
        <f t="array" ref="AC17">_xll.BDP($A17, "BETA_ADJ_OVERRIDABLE", "BETA_OVERRIDE_START_DT", _xll.BADDPERIODS(_xll.BTODAY(),"NUMBEROFPERIODS=-1","PER=Y"), "BETA_OVERRIDE_END_DT", _xll.BTODAY(), AC$4, "BETA_OVERRIDE_PERIOD=D")</f>
        <v>0.41552359999999999</v>
      </c>
      <c r="AD17" s="1" cm="1">
        <f t="array" ref="AD17">_xll.BDP($A17, "BETA_ADJ_OVERRIDABLE", "BETA_OVERRIDE_START_DT", _xll.BADDPERIODS(_xll.BTODAY(),"NUMBEROFPERIODS=-1","PER=Y"), "BETA_OVERRIDE_END_DT", _xll.BTODAY(), AD$4, "BETA_OVERRIDE_PERIOD=D")</f>
        <v>0.2755725</v>
      </c>
      <c r="AE17" s="1" cm="1">
        <f t="array" ref="AE17">_xll.BDP($A17, "BETA_ADJ_OVERRIDABLE", "BETA_OVERRIDE_START_DT", _xll.BADDPERIODS(_xll.BTODAY(),"NUMBEROFPERIODS=-1","PER=Y"), "BETA_OVERRIDE_END_DT", _xll.BTODAY(), AE$4, "BETA_OVERRIDE_PERIOD=D")</f>
        <v>0.58178430000000003</v>
      </c>
      <c r="AF17" s="1" cm="1">
        <f t="array" ref="AF17">_xll.BDP($A17, "BETA_ADJ_OVERRIDABLE", "BETA_OVERRIDE_START_DT", _xll.BADDPERIODS(_xll.BTODAY(),"NUMBEROFPERIODS=-1","PER=Y"), "BETA_OVERRIDE_END_DT", _xll.BTODAY(), AF$4, "BETA_OVERRIDE_PERIOD=D")</f>
        <v>0.20236029999999999</v>
      </c>
      <c r="AG17" s="1" cm="1">
        <f t="array" ref="AG17">_xll.BDP($A17, "BETA_ADJ_OVERRIDABLE", "BETA_OVERRIDE_START_DT", _xll.BADDPERIODS(_xll.BTODAY(),"NUMBEROFPERIODS=-1","PER=Y"), "BETA_OVERRIDE_END_DT", _xll.BTODAY(), AG$4, "BETA_OVERRIDE_PERIOD=D")</f>
        <v>0.30415330000000002</v>
      </c>
      <c r="AH17" s="1" cm="1">
        <f t="array" ref="AH17">_xll.BDP($A17, "BETA_ADJ_OVERRIDABLE", "BETA_OVERRIDE_START_DT", _xll.BADDPERIODS(_xll.BTODAY(),"NUMBEROFPERIODS=-1","PER=Y"), "BETA_OVERRIDE_END_DT", _xll.BTODAY(), AH$4, "BETA_OVERRIDE_PERIOD=D")</f>
        <v>0.37445529999999999</v>
      </c>
      <c r="AI17" s="1" cm="1">
        <f t="array" ref="AI17">_xll.BDP($A17, "BETA_ADJ_OVERRIDABLE", "BETA_OVERRIDE_START_DT", _xll.BADDPERIODS(_xll.BTODAY(),"NUMBEROFPERIODS=-1","PER=Y"), "BETA_OVERRIDE_END_DT", _xll.BTODAY(), AI$4, "BETA_OVERRIDE_PERIOD=D")</f>
        <v>0.35738219999999998</v>
      </c>
      <c r="AJ17" s="1" cm="1">
        <f t="array" ref="AJ17">_xll.BDP($A17, "BETA_ADJ_OVERRIDABLE", "BETA_OVERRIDE_START_DT", _xll.BADDPERIODS(_xll.BTODAY(),"NUMBEROFPERIODS=-1","PER=Y"), "BETA_OVERRIDE_END_DT", _xll.BTODAY(), AJ$4, "BETA_OVERRIDE_PERIOD=D")</f>
        <v>0.36025659999999998</v>
      </c>
      <c r="AK17" s="1" cm="1">
        <f t="array" ref="AK17">_xll.BDP($A17, "BETA_ADJ_OVERRIDABLE", "BETA_OVERRIDE_START_DT", _xll.BADDPERIODS(_xll.BTODAY(),"NUMBEROFPERIODS=-1","PER=Y"), "BETA_OVERRIDE_END_DT", _xll.BTODAY(), AK$4, "BETA_OVERRIDE_PERIOD=D")</f>
        <v>0.71368120000000002</v>
      </c>
      <c r="AL17" s="1" cm="1">
        <f t="array" ref="AL17">_xll.BDP($A17, "BETA_ADJ_OVERRIDABLE", "BETA_OVERRIDE_START_DT", _xll.BADDPERIODS(_xll.BTODAY(),"NUMBEROFPERIODS=-1","PER=Y"), "BETA_OVERRIDE_END_DT", _xll.BTODAY(), AL$4, "BETA_OVERRIDE_PERIOD=D")</f>
        <v>0.82143169999999999</v>
      </c>
      <c r="AM17" s="1" cm="1">
        <f t="array" ref="AM17">_xll.BDP($A17, "BETA_ADJ_OVERRIDABLE", "BETA_OVERRIDE_START_DT", _xll.BADDPERIODS(_xll.BTODAY(),"NUMBEROFPERIODS=-1","PER=Y"), "BETA_OVERRIDE_END_DT", _xll.BTODAY(), AM$4, "BETA_OVERRIDE_PERIOD=D")</f>
        <v>0.67126059999999999</v>
      </c>
    </row>
    <row r="18" spans="1:39" x14ac:dyDescent="0.25">
      <c r="A18" t="s">
        <v>54</v>
      </c>
      <c r="B18" s="1" cm="1">
        <f t="array" ref="B18">_xll.BDP($A18, "BETA_ADJ_OVERRIDABLE", "BETA_OVERRIDE_START_DT", _xll.BADDPERIODS(_xll.BTODAY(),"NUMBEROFPERIODS=-5","PER=Y"), "BETA_OVERRIDE_END_DT", _xll.BTODAY(), B$4, "BETA_OVERRIDE_PERIOD=M")</f>
        <v>0.30856050000000002</v>
      </c>
      <c r="C18" s="1" cm="1">
        <f t="array" ref="C18">_xll.BDP($A18, "BETA_ADJ_OVERRIDABLE", "BETA_OVERRIDE_START_DT", _xll.BADDPERIODS(_xll.BTODAY(),"NUMBEROFPERIODS=-3","PER=Y"), "BETA_OVERRIDE_END_DT", _xll.BTODAY(), C$4, "BETA_OVERRIDE_PERIOD=W")</f>
        <v>0.2411421</v>
      </c>
      <c r="D18" s="1" cm="1">
        <f t="array" ref="D18">_xll.BDP($A18, "BETA_ADJ_OVERRIDABLE", "BETA_OVERRIDE_START_DT", _xll.BADDPERIODS(_xll.BTODAY(),"NUMBEROFPERIODS=-1","PER=Y"), "BETA_OVERRIDE_END_DT", _xll.BTODAY(), D$4, "BETA_OVERRIDE_PERIOD=D")</f>
        <v>0.34090110000000001</v>
      </c>
      <c r="E18" s="1" cm="1">
        <f t="array" ref="E18">_xll.BDP($A18, "BETA_ADJ_OVERRIDABLE", "BETA_OVERRIDE_START_DT", _xll.BADDPERIODS(_xll.BTODAY(),"NUMBEROFPERIODS=-1","PER=Y"), "BETA_OVERRIDE_END_DT", _xll.BTODAY(), E$4, "BETA_OVERRIDE_PERIOD=D")</f>
        <v>0.35562240000000001</v>
      </c>
      <c r="F18" s="1" cm="1">
        <f t="array" ref="F18">_xll.BDP($A18, "BETA_ADJ_OVERRIDABLE", "BETA_OVERRIDE_START_DT", _xll.BADDPERIODS(_xll.BTODAY(),"NUMBEROFPERIODS=-1","PER=Y"), "BETA_OVERRIDE_END_DT", _xll.BTODAY(), F$4, "BETA_OVERRIDE_PERIOD=D")</f>
        <v>0.34461009999999997</v>
      </c>
      <c r="G18" s="1" cm="1">
        <f t="array" ref="G18">_xll.BDP($A18, "BETA_ADJ_OVERRIDABLE", "BETA_OVERRIDE_START_DT", _xll.BADDPERIODS(_xll.BTODAY(),"NUMBEROFPERIODS=-1","PER=Y"), "BETA_OVERRIDE_END_DT", _xll.BTODAY(), G$4, "BETA_OVERRIDE_PERIOD=D")</f>
        <v>0.33212999999999998</v>
      </c>
      <c r="H18" s="1" cm="1">
        <f t="array" ref="H18">_xll.BDP($A18, "BETA_ADJ_OVERRIDABLE", "BETA_OVERRIDE_START_DT", _xll.BADDPERIODS(_xll.BTODAY(),"NUMBEROFPERIODS=-1","PER=Y"), "BETA_OVERRIDE_END_DT", _xll.BTODAY(), H$4, "BETA_OVERRIDE_PERIOD=D")</f>
        <v>0.36061339999999997</v>
      </c>
      <c r="I18" s="1" cm="1">
        <f t="array" ref="I18">_xll.BDP($A18, "BETA_ADJ_OVERRIDABLE", "BETA_OVERRIDE_START_DT", _xll.BADDPERIODS(_xll.BTODAY(),"NUMBEROFPERIODS=-1","PER=Y"), "BETA_OVERRIDE_END_DT", _xll.BTODAY(), I$4, "BETA_OVERRIDE_PERIOD=D")</f>
        <v>0.33061829999999998</v>
      </c>
      <c r="J18" s="1" cm="1">
        <f t="array" ref="J18">_xll.BDP($A18, "BETA_ADJ_OVERRIDABLE", "BETA_OVERRIDE_START_DT", _xll.BADDPERIODS(_xll.BTODAY(),"NUMBEROFPERIODS=-1","PER=Y"), "BETA_OVERRIDE_END_DT", _xll.BTODAY(), J$4, "BETA_OVERRIDE_PERIOD=D")</f>
        <v>0.30343530000000002</v>
      </c>
      <c r="K18" s="1" cm="1">
        <f t="array" ref="K18">_xll.BDP($A18, "BETA_ADJ_OVERRIDABLE", "BETA_OVERRIDE_START_DT", _xll.BADDPERIODS(_xll.BTODAY(),"NUMBEROFPERIODS=-1","PER=Y"), "BETA_OVERRIDE_END_DT", _xll.BTODAY(), K$4, "BETA_OVERRIDE_PERIOD=D")</f>
        <v>0.31417719999999999</v>
      </c>
      <c r="L18" s="1" cm="1">
        <f t="array" ref="L18">_xll.BDP($A18, "BETA_ADJ_OVERRIDABLE", "BETA_OVERRIDE_START_DT", _xll.BADDPERIODS(_xll.BTODAY(),"NUMBEROFPERIODS=-1","PER=Y"), "BETA_OVERRIDE_END_DT", _xll.BTODAY(), L$4, "BETA_OVERRIDE_PERIOD=D")</f>
        <v>0.3295592</v>
      </c>
      <c r="M18" s="1" cm="1">
        <f t="array" ref="M18">_xll.BDP($A18, "BETA_ADJ_OVERRIDABLE", "BETA_OVERRIDE_START_DT", _xll.BADDPERIODS(_xll.BTODAY(),"NUMBEROFPERIODS=-1","PER=Y"), "BETA_OVERRIDE_END_DT", _xll.BTODAY(), M$4, "BETA_OVERRIDE_PERIOD=D")</f>
        <v>0.3822101</v>
      </c>
      <c r="N18" s="1" cm="1">
        <f t="array" ref="N18">_xll.BDP($A18, "BETA_ADJ_OVERRIDABLE", "BETA_OVERRIDE_START_DT", _xll.BADDPERIODS(_xll.BTODAY(),"NUMBEROFPERIODS=-1","PER=Y"), "BETA_OVERRIDE_END_DT", _xll.BTODAY(), N$4, "BETA_OVERRIDE_PERIOD=D")</f>
        <v>0.37392920000000002</v>
      </c>
      <c r="O18" s="1" cm="1">
        <f t="array" ref="O18">_xll.BDP($A18, "BETA_ADJ_OVERRIDABLE", "BETA_OVERRIDE_START_DT", _xll.BADDPERIODS(_xll.BTODAY(),"NUMBEROFPERIODS=-1","PER=Y"), "BETA_OVERRIDE_END_DT", _xll.BTODAY(), O$4, "BETA_OVERRIDE_PERIOD=D")</f>
        <v>0.14652090000000001</v>
      </c>
      <c r="P18" s="1" cm="1">
        <f t="array" ref="P18">_xll.BDP($A18, "BETA_ADJ_OVERRIDABLE", "BETA_OVERRIDE_START_DT", _xll.BADDPERIODS(_xll.BTODAY(),"NUMBEROFPERIODS=-1","PER=Y"), "BETA_OVERRIDE_END_DT", _xll.BTODAY(), P$4, "BETA_OVERRIDE_PERIOD=D")</f>
        <v>0.2182075</v>
      </c>
      <c r="Q18" s="1" cm="1">
        <f t="array" ref="Q18">_xll.BDP($A18, "BETA_ADJ_OVERRIDABLE", "BETA_OVERRIDE_START_DT", _xll.BADDPERIODS(_xll.BTODAY(),"NUMBEROFPERIODS=-1","PER=Y"), "BETA_OVERRIDE_END_DT", _xll.BTODAY(), Q$4, "BETA_OVERRIDE_PERIOD=D")</f>
        <v>0.31954320000000003</v>
      </c>
      <c r="R18" s="1" cm="1">
        <f t="array" ref="R18">_xll.BDP($A18, "BETA_ADJ_OVERRIDABLE", "BETA_OVERRIDE_START_DT", _xll.BADDPERIODS(_xll.BTODAY(),"NUMBEROFPERIODS=-1","PER=Y"), "BETA_OVERRIDE_END_DT", _xll.BTODAY(), R$4, "BETA_OVERRIDE_PERIOD=D")</f>
        <v>0.14913999999999999</v>
      </c>
      <c r="S18" s="1" cm="1">
        <f t="array" ref="S18">_xll.BDP($A18, "BETA_ADJ_OVERRIDABLE", "BETA_OVERRIDE_START_DT", _xll.BADDPERIODS(_xll.BTODAY(),"NUMBEROFPERIODS=-1","PER=Y"), "BETA_OVERRIDE_END_DT", _xll.BTODAY(), S$4, "BETA_OVERRIDE_PERIOD=D")</f>
        <v>0.17185349999999999</v>
      </c>
      <c r="T18" s="1" cm="1">
        <f t="array" ref="T18">_xll.BDP($A18, "BETA_ADJ_OVERRIDABLE", "BETA_OVERRIDE_START_DT", _xll.BADDPERIODS(_xll.BTODAY(),"NUMBEROFPERIODS=-1","PER=Y"), "BETA_OVERRIDE_END_DT", _xll.BTODAY(), T$4, "BETA_OVERRIDE_PERIOD=D")</f>
        <v>0.25980839999999999</v>
      </c>
      <c r="U18" s="1" cm="1">
        <f t="array" ref="U18">_xll.BDP($A18, "BETA_ADJ_OVERRIDABLE", "BETA_OVERRIDE_START_DT", _xll.BADDPERIODS(_xll.BTODAY(),"NUMBEROFPERIODS=-1","PER=Y"), "BETA_OVERRIDE_END_DT", _xll.BTODAY(), U$4, "BETA_OVERRIDE_PERIOD=D")</f>
        <v>0.37392920000000002</v>
      </c>
      <c r="V18" s="1" cm="1">
        <f t="array" ref="V18">_xll.BDP($A18, "BETA_ADJ_OVERRIDABLE", "BETA_OVERRIDE_START_DT", _xll.BADDPERIODS(_xll.BTODAY(),"NUMBEROFPERIODS=-1","PER=Y"), "BETA_OVERRIDE_END_DT", _xll.BTODAY(), V$4, "BETA_OVERRIDE_PERIOD=D")</f>
        <v>0.3476186</v>
      </c>
      <c r="W18" s="1" cm="1">
        <f t="array" ref="W18">_xll.BDP($A18, "BETA_ADJ_OVERRIDABLE", "BETA_OVERRIDE_START_DT", _xll.BADDPERIODS(_xll.BTODAY(),"NUMBEROFPERIODS=-1","PER=Y"), "BETA_OVERRIDE_END_DT", _xll.BTODAY(), W$4, "BETA_OVERRIDE_PERIOD=D")</f>
        <v>0.34214480000000003</v>
      </c>
      <c r="X18" s="1" cm="1">
        <f t="array" ref="X18">_xll.BDP($A18, "BETA_ADJ_OVERRIDABLE", "BETA_OVERRIDE_START_DT", _xll.BADDPERIODS(_xll.BTODAY(),"NUMBEROFPERIODS=-1","PER=Y"), "BETA_OVERRIDE_END_DT", _xll.BTODAY(), X$4, "BETA_OVERRIDE_PERIOD=D")</f>
        <v>0.32071899999999998</v>
      </c>
      <c r="Y18" s="1" cm="1">
        <f t="array" ref="Y18">_xll.BDP($A18, "BETA_ADJ_OVERRIDABLE", "BETA_OVERRIDE_START_DT", _xll.BADDPERIODS(_xll.BTODAY(),"NUMBEROFPERIODS=-1","PER=Y"), "BETA_OVERRIDE_END_DT", _xll.BTODAY(), Y$4, "BETA_OVERRIDE_PERIOD=D")</f>
        <v>0.316556</v>
      </c>
      <c r="Z18" s="1" cm="1">
        <f t="array" ref="Z18">_xll.BDP($A18, "BETA_ADJ_OVERRIDABLE", "BETA_OVERRIDE_START_DT", _xll.BADDPERIODS(_xll.BTODAY(),"NUMBEROFPERIODS=-1","PER=Y"), "BETA_OVERRIDE_END_DT", _xll.BTODAY(), Z$4, "BETA_OVERRIDE_PERIOD=D")</f>
        <v>0.34814850000000003</v>
      </c>
      <c r="AA18" s="1" cm="1">
        <f t="array" ref="AA18">_xll.BDP($A18, "BETA_ADJ_OVERRIDABLE", "BETA_OVERRIDE_START_DT", _xll.BADDPERIODS(_xll.BTODAY(),"NUMBEROFPERIODS=-1","PER=Y"), "BETA_OVERRIDE_END_DT", _xll.BTODAY(), AA$4, "BETA_OVERRIDE_PERIOD=D")</f>
        <v>0.35685430000000001</v>
      </c>
      <c r="AB18" s="1" cm="1">
        <f t="array" ref="AB18">_xll.BDP($A18, "BETA_ADJ_OVERRIDABLE", "BETA_OVERRIDE_START_DT", _xll.BADDPERIODS(_xll.BTODAY(),"NUMBEROFPERIODS=-1","PER=Y"), "BETA_OVERRIDE_END_DT", _xll.BTODAY(), AB$4, "BETA_OVERRIDE_PERIOD=D")</f>
        <v>0.44516139999999998</v>
      </c>
      <c r="AC18" s="1" cm="1">
        <f t="array" ref="AC18">_xll.BDP($A18, "BETA_ADJ_OVERRIDABLE", "BETA_OVERRIDE_START_DT", _xll.BADDPERIODS(_xll.BTODAY(),"NUMBEROFPERIODS=-1","PER=Y"), "BETA_OVERRIDE_END_DT", _xll.BTODAY(), AC$4, "BETA_OVERRIDE_PERIOD=D")</f>
        <v>0.24070079999999999</v>
      </c>
      <c r="AD18" s="1" cm="1">
        <f t="array" ref="AD18">_xll.BDP($A18, "BETA_ADJ_OVERRIDABLE", "BETA_OVERRIDE_START_DT", _xll.BADDPERIODS(_xll.BTODAY(),"NUMBEROFPERIODS=-1","PER=Y"), "BETA_OVERRIDE_END_DT", _xll.BTODAY(), AD$4, "BETA_OVERRIDE_PERIOD=D")</f>
        <v>0.38971169999999999</v>
      </c>
      <c r="AE18" s="1" cm="1">
        <f t="array" ref="AE18">_xll.BDP($A18, "BETA_ADJ_OVERRIDABLE", "BETA_OVERRIDE_START_DT", _xll.BADDPERIODS(_xll.BTODAY(),"NUMBEROFPERIODS=-1","PER=Y"), "BETA_OVERRIDE_END_DT", _xll.BTODAY(), AE$4, "BETA_OVERRIDE_PERIOD=D")</f>
        <v>0.24472550000000001</v>
      </c>
      <c r="AF18" s="1" cm="1">
        <f t="array" ref="AF18">_xll.BDP($A18, "BETA_ADJ_OVERRIDABLE", "BETA_OVERRIDE_START_DT", _xll.BADDPERIODS(_xll.BTODAY(),"NUMBEROFPERIODS=-1","PER=Y"), "BETA_OVERRIDE_END_DT", _xll.BTODAY(), AF$4, "BETA_OVERRIDE_PERIOD=D")</f>
        <v>0.48235329999999998</v>
      </c>
      <c r="AG18" s="1" cm="1">
        <f t="array" ref="AG18">_xll.BDP($A18, "BETA_ADJ_OVERRIDABLE", "BETA_OVERRIDE_START_DT", _xll.BADDPERIODS(_xll.BTODAY(),"NUMBEROFPERIODS=-1","PER=Y"), "BETA_OVERRIDE_END_DT", _xll.BTODAY(), AG$4, "BETA_OVERRIDE_PERIOD=D")</f>
        <v>0.24153450000000001</v>
      </c>
      <c r="AH18" s="1" cm="1">
        <f t="array" ref="AH18">_xll.BDP($A18, "BETA_ADJ_OVERRIDABLE", "BETA_OVERRIDE_START_DT", _xll.BADDPERIODS(_xll.BTODAY(),"NUMBEROFPERIODS=-1","PER=Y"), "BETA_OVERRIDE_END_DT", _xll.BTODAY(), AH$4, "BETA_OVERRIDE_PERIOD=D")</f>
        <v>0.35014960000000001</v>
      </c>
      <c r="AI18" s="1" cm="1">
        <f t="array" ref="AI18">_xll.BDP($A18, "BETA_ADJ_OVERRIDABLE", "BETA_OVERRIDE_START_DT", _xll.BADDPERIODS(_xll.BTODAY(),"NUMBEROFPERIODS=-1","PER=Y"), "BETA_OVERRIDE_END_DT", _xll.BTODAY(), AI$4, "BETA_OVERRIDE_PERIOD=D")</f>
        <v>0.3407964</v>
      </c>
      <c r="AJ18" s="1" cm="1">
        <f t="array" ref="AJ18">_xll.BDP($A18, "BETA_ADJ_OVERRIDABLE", "BETA_OVERRIDE_START_DT", _xll.BADDPERIODS(_xll.BTODAY(),"NUMBEROFPERIODS=-1","PER=Y"), "BETA_OVERRIDE_END_DT", _xll.BTODAY(), AJ$4, "BETA_OVERRIDE_PERIOD=D")</f>
        <v>0.34961140000000002</v>
      </c>
      <c r="AK18" s="1" cm="1">
        <f t="array" ref="AK18">_xll.BDP($A18, "BETA_ADJ_OVERRIDABLE", "BETA_OVERRIDE_START_DT", _xll.BADDPERIODS(_xll.BTODAY(),"NUMBEROFPERIODS=-1","PER=Y"), "BETA_OVERRIDE_END_DT", _xll.BTODAY(), AK$4, "BETA_OVERRIDE_PERIOD=D")</f>
        <v>0.32033800000000001</v>
      </c>
      <c r="AL18" s="1" cm="1">
        <f t="array" ref="AL18">_xll.BDP($A18, "BETA_ADJ_OVERRIDABLE", "BETA_OVERRIDE_START_DT", _xll.BADDPERIODS(_xll.BTODAY(),"NUMBEROFPERIODS=-1","PER=Y"), "BETA_OVERRIDE_END_DT", _xll.BTODAY(), AL$4, "BETA_OVERRIDE_PERIOD=D")</f>
        <v>0.29667830000000001</v>
      </c>
      <c r="AM18" s="1" cm="1">
        <f t="array" ref="AM18">_xll.BDP($A18, "BETA_ADJ_OVERRIDABLE", "BETA_OVERRIDE_START_DT", _xll.BADDPERIODS(_xll.BTODAY(),"NUMBEROFPERIODS=-1","PER=Y"), "BETA_OVERRIDE_END_DT", _xll.BTODAY(), AM$4, "BETA_OVERRIDE_PERIOD=D")</f>
        <v>0.38191989999999998</v>
      </c>
    </row>
    <row r="19" spans="1:39" x14ac:dyDescent="0.25">
      <c r="A19" t="s">
        <v>55</v>
      </c>
      <c r="B19" s="1" cm="1">
        <f t="array" ref="B19">_xll.BDP($A19, "BETA_ADJ_OVERRIDABLE", "BETA_OVERRIDE_START_DT", _xll.BADDPERIODS(_xll.BTODAY(),"NUMBEROFPERIODS=-5","PER=Y"), "BETA_OVERRIDE_END_DT", _xll.BTODAY(), B$4, "BETA_OVERRIDE_PERIOD=M")</f>
        <v>0.63137030000000005</v>
      </c>
      <c r="C19" s="1" cm="1">
        <f t="array" ref="C19">_xll.BDP($A19, "BETA_ADJ_OVERRIDABLE", "BETA_OVERRIDE_START_DT", _xll.BADDPERIODS(_xll.BTODAY(),"NUMBEROFPERIODS=-3","PER=Y"), "BETA_OVERRIDE_END_DT", _xll.BTODAY(), C$4, "BETA_OVERRIDE_PERIOD=W")</f>
        <v>0.68570969999999998</v>
      </c>
      <c r="D19" s="1" cm="1">
        <f t="array" ref="D19">_xll.BDP($A19, "BETA_ADJ_OVERRIDABLE", "BETA_OVERRIDE_START_DT", _xll.BADDPERIODS(_xll.BTODAY(),"NUMBEROFPERIODS=-1","PER=Y"), "BETA_OVERRIDE_END_DT", _xll.BTODAY(), D$4, "BETA_OVERRIDE_PERIOD=D")</f>
        <v>0.4397491</v>
      </c>
      <c r="E19" s="1" cm="1">
        <f t="array" ref="E19">_xll.BDP($A19, "BETA_ADJ_OVERRIDABLE", "BETA_OVERRIDE_START_DT", _xll.BADDPERIODS(_xll.BTODAY(),"NUMBEROFPERIODS=-1","PER=Y"), "BETA_OVERRIDE_END_DT", _xll.BTODAY(), E$4, "BETA_OVERRIDE_PERIOD=D")</f>
        <v>0.4398088</v>
      </c>
      <c r="F19" s="1" cm="1">
        <f t="array" ref="F19">_xll.BDP($A19, "BETA_ADJ_OVERRIDABLE", "BETA_OVERRIDE_START_DT", _xll.BADDPERIODS(_xll.BTODAY(),"NUMBEROFPERIODS=-1","PER=Y"), "BETA_OVERRIDE_END_DT", _xll.BTODAY(), F$4, "BETA_OVERRIDE_PERIOD=D")</f>
        <v>0.4230024</v>
      </c>
      <c r="G19" s="1" cm="1">
        <f t="array" ref="G19">_xll.BDP($A19, "BETA_ADJ_OVERRIDABLE", "BETA_OVERRIDE_START_DT", _xll.BADDPERIODS(_xll.BTODAY(),"NUMBEROFPERIODS=-1","PER=Y"), "BETA_OVERRIDE_END_DT", _xll.BTODAY(), G$4, "BETA_OVERRIDE_PERIOD=D")</f>
        <v>0.4157419</v>
      </c>
      <c r="H19" s="1" cm="1">
        <f t="array" ref="H19">_xll.BDP($A19, "BETA_ADJ_OVERRIDABLE", "BETA_OVERRIDE_START_DT", _xll.BADDPERIODS(_xll.BTODAY(),"NUMBEROFPERIODS=-1","PER=Y"), "BETA_OVERRIDE_END_DT", _xll.BTODAY(), H$4, "BETA_OVERRIDE_PERIOD=D")</f>
        <v>0.45144440000000002</v>
      </c>
      <c r="I19" s="1" cm="1">
        <f t="array" ref="I19">_xll.BDP($A19, "BETA_ADJ_OVERRIDABLE", "BETA_OVERRIDE_START_DT", _xll.BADDPERIODS(_xll.BTODAY(),"NUMBEROFPERIODS=-1","PER=Y"), "BETA_OVERRIDE_END_DT", _xll.BTODAY(), I$4, "BETA_OVERRIDE_PERIOD=D")</f>
        <v>0.41260360000000001</v>
      </c>
      <c r="J19" s="1" cm="1">
        <f t="array" ref="J19">_xll.BDP($A19, "BETA_ADJ_OVERRIDABLE", "BETA_OVERRIDE_START_DT", _xll.BADDPERIODS(_xll.BTODAY(),"NUMBEROFPERIODS=-1","PER=Y"), "BETA_OVERRIDE_END_DT", _xll.BTODAY(), J$4, "BETA_OVERRIDE_PERIOD=D")</f>
        <v>0.96217680000000005</v>
      </c>
      <c r="K19" s="1" cm="1">
        <f t="array" ref="K19">_xll.BDP($A19, "BETA_ADJ_OVERRIDABLE", "BETA_OVERRIDE_START_DT", _xll.BADDPERIODS(_xll.BTODAY(),"NUMBEROFPERIODS=-1","PER=Y"), "BETA_OVERRIDE_END_DT", _xll.BTODAY(), K$4, "BETA_OVERRIDE_PERIOD=D")</f>
        <v>1.537984</v>
      </c>
      <c r="L19" s="1" cm="1">
        <f t="array" ref="L19">_xll.BDP($A19, "BETA_ADJ_OVERRIDABLE", "BETA_OVERRIDE_START_DT", _xll.BADDPERIODS(_xll.BTODAY(),"NUMBEROFPERIODS=-1","PER=Y"), "BETA_OVERRIDE_END_DT", _xll.BTODAY(), L$4, "BETA_OVERRIDE_PERIOD=D")</f>
        <v>0.64936649999999996</v>
      </c>
      <c r="M19" s="1" cm="1">
        <f t="array" ref="M19">_xll.BDP($A19, "BETA_ADJ_OVERRIDABLE", "BETA_OVERRIDE_START_DT", _xll.BADDPERIODS(_xll.BTODAY(),"NUMBEROFPERIODS=-1","PER=Y"), "BETA_OVERRIDE_END_DT", _xll.BTODAY(), M$4, "BETA_OVERRIDE_PERIOD=D")</f>
        <v>0.3435068</v>
      </c>
      <c r="N19" s="1" cm="1">
        <f t="array" ref="N19">_xll.BDP($A19, "BETA_ADJ_OVERRIDABLE", "BETA_OVERRIDE_START_DT", _xll.BADDPERIODS(_xll.BTODAY(),"NUMBEROFPERIODS=-1","PER=Y"), "BETA_OVERRIDE_END_DT", _xll.BTODAY(), N$4, "BETA_OVERRIDE_PERIOD=D")</f>
        <v>0.30413099999999998</v>
      </c>
      <c r="O19" s="1" cm="1">
        <f t="array" ref="O19">_xll.BDP($A19, "BETA_ADJ_OVERRIDABLE", "BETA_OVERRIDE_START_DT", _xll.BADDPERIODS(_xll.BTODAY(),"NUMBEROFPERIODS=-1","PER=Y"), "BETA_OVERRIDE_END_DT", _xll.BTODAY(), O$4, "BETA_OVERRIDE_PERIOD=D")</f>
        <v>0.45587739999999999</v>
      </c>
      <c r="P19" s="1" cm="1">
        <f t="array" ref="P19">_xll.BDP($A19, "BETA_ADJ_OVERRIDABLE", "BETA_OVERRIDE_START_DT", _xll.BADDPERIODS(_xll.BTODAY(),"NUMBEROFPERIODS=-1","PER=Y"), "BETA_OVERRIDE_END_DT", _xll.BTODAY(), P$4, "BETA_OVERRIDE_PERIOD=D")</f>
        <v>0.80969880000000005</v>
      </c>
      <c r="Q19" s="1" cm="1">
        <f t="array" ref="Q19">_xll.BDP($A19, "BETA_ADJ_OVERRIDABLE", "BETA_OVERRIDE_START_DT", _xll.BADDPERIODS(_xll.BTODAY(),"NUMBEROFPERIODS=-1","PER=Y"), "BETA_OVERRIDE_END_DT", _xll.BTODAY(), Q$4, "BETA_OVERRIDE_PERIOD=D")</f>
        <v>2.550157</v>
      </c>
      <c r="R19" s="1" cm="1">
        <f t="array" ref="R19">_xll.BDP($A19, "BETA_ADJ_OVERRIDABLE", "BETA_OVERRIDE_START_DT", _xll.BADDPERIODS(_xll.BTODAY(),"NUMBEROFPERIODS=-1","PER=Y"), "BETA_OVERRIDE_END_DT", _xll.BTODAY(), R$4, "BETA_OVERRIDE_PERIOD=D")</f>
        <v>0.83874210000000005</v>
      </c>
      <c r="S19" s="1" cm="1">
        <f t="array" ref="S19">_xll.BDP($A19, "BETA_ADJ_OVERRIDABLE", "BETA_OVERRIDE_START_DT", _xll.BADDPERIODS(_xll.BTODAY(),"NUMBEROFPERIODS=-1","PER=Y"), "BETA_OVERRIDE_END_DT", _xll.BTODAY(), S$4, "BETA_OVERRIDE_PERIOD=D")</f>
        <v>1.7330350000000001</v>
      </c>
      <c r="T19" s="1" cm="1">
        <f t="array" ref="T19">_xll.BDP($A19, "BETA_ADJ_OVERRIDABLE", "BETA_OVERRIDE_START_DT", _xll.BADDPERIODS(_xll.BTODAY(),"NUMBEROFPERIODS=-1","PER=Y"), "BETA_OVERRIDE_END_DT", _xll.BTODAY(), T$4, "BETA_OVERRIDE_PERIOD=D")</f>
        <v>0.32221539999999999</v>
      </c>
      <c r="U19" s="1" cm="1">
        <f t="array" ref="U19">_xll.BDP($A19, "BETA_ADJ_OVERRIDABLE", "BETA_OVERRIDE_START_DT", _xll.BADDPERIODS(_xll.BTODAY(),"NUMBEROFPERIODS=-1","PER=Y"), "BETA_OVERRIDE_END_DT", _xll.BTODAY(), U$4, "BETA_OVERRIDE_PERIOD=D")</f>
        <v>0.30413099999999998</v>
      </c>
      <c r="V19" s="1" cm="1">
        <f t="array" ref="V19">_xll.BDP($A19, "BETA_ADJ_OVERRIDABLE", "BETA_OVERRIDE_START_DT", _xll.BADDPERIODS(_xll.BTODAY(),"NUMBEROFPERIODS=-1","PER=Y"), "BETA_OVERRIDE_END_DT", _xll.BTODAY(), V$4, "BETA_OVERRIDE_PERIOD=D")</f>
        <v>0.28169260000000002</v>
      </c>
      <c r="W19" s="1" cm="1">
        <f t="array" ref="W19">_xll.BDP($A19, "BETA_ADJ_OVERRIDABLE", "BETA_OVERRIDE_START_DT", _xll.BADDPERIODS(_xll.BTODAY(),"NUMBEROFPERIODS=-1","PER=Y"), "BETA_OVERRIDE_END_DT", _xll.BTODAY(), W$4, "BETA_OVERRIDE_PERIOD=D")</f>
        <v>0.2937534</v>
      </c>
      <c r="X19" s="1" cm="1">
        <f t="array" ref="X19">_xll.BDP($A19, "BETA_ADJ_OVERRIDABLE", "BETA_OVERRIDE_START_DT", _xll.BADDPERIODS(_xll.BTODAY(),"NUMBEROFPERIODS=-1","PER=Y"), "BETA_OVERRIDE_END_DT", _xll.BTODAY(), X$4, "BETA_OVERRIDE_PERIOD=D")</f>
        <v>0.3298162</v>
      </c>
      <c r="Y19" s="1" cm="1">
        <f t="array" ref="Y19">_xll.BDP($A19, "BETA_ADJ_OVERRIDABLE", "BETA_OVERRIDE_START_DT", _xll.BADDPERIODS(_xll.BTODAY(),"NUMBEROFPERIODS=-1","PER=Y"), "BETA_OVERRIDE_END_DT", _xll.BTODAY(), Y$4, "BETA_OVERRIDE_PERIOD=D")</f>
        <v>0.4529958</v>
      </c>
      <c r="Z19" s="1" cm="1">
        <f t="array" ref="Z19">_xll.BDP($A19, "BETA_ADJ_OVERRIDABLE", "BETA_OVERRIDE_START_DT", _xll.BADDPERIODS(_xll.BTODAY(),"NUMBEROFPERIODS=-1","PER=Y"), "BETA_OVERRIDE_END_DT", _xll.BTODAY(), Z$4, "BETA_OVERRIDE_PERIOD=D")</f>
        <v>0.47754770000000002</v>
      </c>
      <c r="AA19" s="1" cm="1">
        <f t="array" ref="AA19">_xll.BDP($A19, "BETA_ADJ_OVERRIDABLE", "BETA_OVERRIDE_START_DT", _xll.BADDPERIODS(_xll.BTODAY(),"NUMBEROFPERIODS=-1","PER=Y"), "BETA_OVERRIDE_END_DT", _xll.BTODAY(), AA$4, "BETA_OVERRIDE_PERIOD=D")</f>
        <v>0.50038190000000005</v>
      </c>
      <c r="AB19" s="1" cm="1">
        <f t="array" ref="AB19">_xll.BDP($A19, "BETA_ADJ_OVERRIDABLE", "BETA_OVERRIDE_START_DT", _xll.BADDPERIODS(_xll.BTODAY(),"NUMBEROFPERIODS=-1","PER=Y"), "BETA_OVERRIDE_END_DT", _xll.BTODAY(), AB$4, "BETA_OVERRIDE_PERIOD=D")</f>
        <v>1.154005E-3</v>
      </c>
      <c r="AC19" s="1" cm="1">
        <f t="array" ref="AC19">_xll.BDP($A19, "BETA_ADJ_OVERRIDABLE", "BETA_OVERRIDE_START_DT", _xll.BADDPERIODS(_xll.BTODAY(),"NUMBEROFPERIODS=-1","PER=Y"), "BETA_OVERRIDE_END_DT", _xll.BTODAY(), AC$4, "BETA_OVERRIDE_PERIOD=D")</f>
        <v>0.56028160000000005</v>
      </c>
      <c r="AD19" s="1" cm="1">
        <f t="array" ref="AD19">_xll.BDP($A19, "BETA_ADJ_OVERRIDABLE", "BETA_OVERRIDE_START_DT", _xll.BADDPERIODS(_xll.BTODAY(),"NUMBEROFPERIODS=-1","PER=Y"), "BETA_OVERRIDE_END_DT", _xll.BTODAY(), AD$4, "BETA_OVERRIDE_PERIOD=D")</f>
        <v>0.27357480000000001</v>
      </c>
      <c r="AE19" s="1" cm="1">
        <f t="array" ref="AE19">_xll.BDP($A19, "BETA_ADJ_OVERRIDABLE", "BETA_OVERRIDE_START_DT", _xll.BADDPERIODS(_xll.BTODAY(),"NUMBEROFPERIODS=-1","PER=Y"), "BETA_OVERRIDE_END_DT", _xll.BTODAY(), AE$4, "BETA_OVERRIDE_PERIOD=D")</f>
        <v>0.85848939999999996</v>
      </c>
      <c r="AF19" s="1" cm="1">
        <f t="array" ref="AF19">_xll.BDP($A19, "BETA_ADJ_OVERRIDABLE", "BETA_OVERRIDE_START_DT", _xll.BADDPERIODS(_xll.BTODAY(),"NUMBEROFPERIODS=-1","PER=Y"), "BETA_OVERRIDE_END_DT", _xll.BTODAY(), AF$4, "BETA_OVERRIDE_PERIOD=D")</f>
        <v>-1.8697280000000001</v>
      </c>
      <c r="AG19" s="1" cm="1">
        <f t="array" ref="AG19">_xll.BDP($A19, "BETA_ADJ_OVERRIDABLE", "BETA_OVERRIDE_START_DT", _xll.BADDPERIODS(_xll.BTODAY(),"NUMBEROFPERIODS=-1","PER=Y"), "BETA_OVERRIDE_END_DT", _xll.BTODAY(), AG$4, "BETA_OVERRIDE_PERIOD=D")</f>
        <v>1.352026</v>
      </c>
      <c r="AH19" s="1" cm="1">
        <f t="array" ref="AH19">_xll.BDP($A19, "BETA_ADJ_OVERRIDABLE", "BETA_OVERRIDE_START_DT", _xll.BADDPERIODS(_xll.BTODAY(),"NUMBEROFPERIODS=-1","PER=Y"), "BETA_OVERRIDE_END_DT", _xll.BTODAY(), AH$4, "BETA_OVERRIDE_PERIOD=D")</f>
        <v>0.3703977</v>
      </c>
      <c r="AI19" s="1" cm="1">
        <f t="array" ref="AI19">_xll.BDP($A19, "BETA_ADJ_OVERRIDABLE", "BETA_OVERRIDE_START_DT", _xll.BADDPERIODS(_xll.BTODAY(),"NUMBEROFPERIODS=-1","PER=Y"), "BETA_OVERRIDE_END_DT", _xll.BTODAY(), AI$4, "BETA_OVERRIDE_PERIOD=D")</f>
        <v>0.36060500000000001</v>
      </c>
      <c r="AJ19" s="1" cm="1">
        <f t="array" ref="AJ19">_xll.BDP($A19, "BETA_ADJ_OVERRIDABLE", "BETA_OVERRIDE_START_DT", _xll.BADDPERIODS(_xll.BTODAY(),"NUMBEROFPERIODS=-1","PER=Y"), "BETA_OVERRIDE_END_DT", _xll.BTODAY(), AJ$4, "BETA_OVERRIDE_PERIOD=D")</f>
        <v>0.3988061</v>
      </c>
      <c r="AK19" s="1" cm="1">
        <f t="array" ref="AK19">_xll.BDP($A19, "BETA_ADJ_OVERRIDABLE", "BETA_OVERRIDE_START_DT", _xll.BADDPERIODS(_xll.BTODAY(),"NUMBEROFPERIODS=-1","PER=Y"), "BETA_OVERRIDE_END_DT", _xll.BTODAY(), AK$4, "BETA_OVERRIDE_PERIOD=D")</f>
        <v>0.5067547</v>
      </c>
      <c r="AL19" s="1" cm="1">
        <f t="array" ref="AL19">_xll.BDP($A19, "BETA_ADJ_OVERRIDABLE", "BETA_OVERRIDE_START_DT", _xll.BADDPERIODS(_xll.BTODAY(),"NUMBEROFPERIODS=-1","PER=Y"), "BETA_OVERRIDE_END_DT", _xll.BTODAY(), AL$4, "BETA_OVERRIDE_PERIOD=D")</f>
        <v>0.74581730000000002</v>
      </c>
      <c r="AM19" s="1" cm="1">
        <f t="array" ref="AM19">_xll.BDP($A19, "BETA_ADJ_OVERRIDABLE", "BETA_OVERRIDE_START_DT", _xll.BADDPERIODS(_xll.BTODAY(),"NUMBEROFPERIODS=-1","PER=Y"), "BETA_OVERRIDE_END_DT", _xll.BTODAY(), AM$4, "BETA_OVERRIDE_PERIOD=D")</f>
        <v>0.45688909999999999</v>
      </c>
    </row>
    <row r="20" spans="1:39" x14ac:dyDescent="0.25">
      <c r="A20" t="s">
        <v>56</v>
      </c>
      <c r="B20" s="1" cm="1">
        <f t="array" ref="B20">_xll.BDP($A20, "BETA_ADJ_OVERRIDABLE", "BETA_OVERRIDE_START_DT", _xll.BADDPERIODS(_xll.BTODAY(),"NUMBEROFPERIODS=-5","PER=Y"), "BETA_OVERRIDE_END_DT", _xll.BTODAY(), B$4, "BETA_OVERRIDE_PERIOD=M")</f>
        <v>1.204609</v>
      </c>
      <c r="C20" s="1" cm="1">
        <f t="array" ref="C20">_xll.BDP($A20, "BETA_ADJ_OVERRIDABLE", "BETA_OVERRIDE_START_DT", _xll.BADDPERIODS(_xll.BTODAY(),"NUMBEROFPERIODS=-3","PER=Y"), "BETA_OVERRIDE_END_DT", _xll.BTODAY(), C$4, "BETA_OVERRIDE_PERIOD=W")</f>
        <v>1.244273</v>
      </c>
      <c r="D20" s="1" cm="1">
        <f t="array" ref="D20">_xll.BDP($A20, "BETA_ADJ_OVERRIDABLE", "BETA_OVERRIDE_START_DT", _xll.BADDPERIODS(_xll.BTODAY(),"NUMBEROFPERIODS=-1","PER=Y"), "BETA_OVERRIDE_END_DT", _xll.BTODAY(), D$4, "BETA_OVERRIDE_PERIOD=D")</f>
        <v>1.2421279999999999</v>
      </c>
      <c r="E20" s="1" cm="1">
        <f t="array" ref="E20">_xll.BDP($A20, "BETA_ADJ_OVERRIDABLE", "BETA_OVERRIDE_START_DT", _xll.BADDPERIODS(_xll.BTODAY(),"NUMBEROFPERIODS=-1","PER=Y"), "BETA_OVERRIDE_END_DT", _xll.BTODAY(), E$4, "BETA_OVERRIDE_PERIOD=D")</f>
        <v>1.1719630000000001</v>
      </c>
      <c r="F20" s="1" cm="1">
        <f t="array" ref="F20">_xll.BDP($A20, "BETA_ADJ_OVERRIDABLE", "BETA_OVERRIDE_START_DT", _xll.BADDPERIODS(_xll.BTODAY(),"NUMBEROFPERIODS=-1","PER=Y"), "BETA_OVERRIDE_END_DT", _xll.BTODAY(), F$4, "BETA_OVERRIDE_PERIOD=D")</f>
        <v>1.1076109999999999</v>
      </c>
      <c r="G20" s="1" cm="1">
        <f t="array" ref="G20">_xll.BDP($A20, "BETA_ADJ_OVERRIDABLE", "BETA_OVERRIDE_START_DT", _xll.BADDPERIODS(_xll.BTODAY(),"NUMBEROFPERIODS=-1","PER=Y"), "BETA_OVERRIDE_END_DT", _xll.BTODAY(), G$4, "BETA_OVERRIDE_PERIOD=D")</f>
        <v>1.036408</v>
      </c>
      <c r="H20" s="1" cm="1">
        <f t="array" ref="H20">_xll.BDP($A20, "BETA_ADJ_OVERRIDABLE", "BETA_OVERRIDE_START_DT", _xll.BADDPERIODS(_xll.BTODAY(),"NUMBEROFPERIODS=-1","PER=Y"), "BETA_OVERRIDE_END_DT", _xll.BTODAY(), H$4, "BETA_OVERRIDE_PERIOD=D")</f>
        <v>1.3525579999999999</v>
      </c>
      <c r="I20" s="1" cm="1">
        <f t="array" ref="I20">_xll.BDP($A20, "BETA_ADJ_OVERRIDABLE", "BETA_OVERRIDE_START_DT", _xll.BADDPERIODS(_xll.BTODAY(),"NUMBEROFPERIODS=-1","PER=Y"), "BETA_OVERRIDE_END_DT", _xll.BTODAY(), I$4, "BETA_OVERRIDE_PERIOD=D")</f>
        <v>1.0293060000000001</v>
      </c>
      <c r="J20" s="1" cm="1">
        <f t="array" ref="J20">_xll.BDP($A20, "BETA_ADJ_OVERRIDABLE", "BETA_OVERRIDE_START_DT", _xll.BADDPERIODS(_xll.BTODAY(),"NUMBEROFPERIODS=-1","PER=Y"), "BETA_OVERRIDE_END_DT", _xll.BTODAY(), J$4, "BETA_OVERRIDE_PERIOD=D")</f>
        <v>0.4597984</v>
      </c>
      <c r="K20" s="1" cm="1">
        <f t="array" ref="K20">_xll.BDP($A20, "BETA_ADJ_OVERRIDABLE", "BETA_OVERRIDE_START_DT", _xll.BADDPERIODS(_xll.BTODAY(),"NUMBEROFPERIODS=-1","PER=Y"), "BETA_OVERRIDE_END_DT", _xll.BTODAY(), K$4, "BETA_OVERRIDE_PERIOD=D")</f>
        <v>0.51621700000000004</v>
      </c>
      <c r="L20" s="1" cm="1">
        <f t="array" ref="L20">_xll.BDP($A20, "BETA_ADJ_OVERRIDABLE", "BETA_OVERRIDE_START_DT", _xll.BADDPERIODS(_xll.BTODAY(),"NUMBEROFPERIODS=-1","PER=Y"), "BETA_OVERRIDE_END_DT", _xll.BTODAY(), L$4, "BETA_OVERRIDE_PERIOD=D")</f>
        <v>1.433297</v>
      </c>
      <c r="M20" s="1" cm="1">
        <f t="array" ref="M20">_xll.BDP($A20, "BETA_ADJ_OVERRIDABLE", "BETA_OVERRIDE_START_DT", _xll.BADDPERIODS(_xll.BTODAY(),"NUMBEROFPERIODS=-1","PER=Y"), "BETA_OVERRIDE_END_DT", _xll.BTODAY(), M$4, "BETA_OVERRIDE_PERIOD=D")</f>
        <v>0.5730478</v>
      </c>
      <c r="N20" s="1" cm="1">
        <f t="array" ref="N20">_xll.BDP($A20, "BETA_ADJ_OVERRIDABLE", "BETA_OVERRIDE_START_DT", _xll.BADDPERIODS(_xll.BTODAY(),"NUMBEROFPERIODS=-1","PER=Y"), "BETA_OVERRIDE_END_DT", _xll.BTODAY(), N$4, "BETA_OVERRIDE_PERIOD=D")</f>
        <v>0.34528160000000002</v>
      </c>
      <c r="O20" s="1" cm="1">
        <f t="array" ref="O20">_xll.BDP($A20, "BETA_ADJ_OVERRIDABLE", "BETA_OVERRIDE_START_DT", _xll.BADDPERIODS(_xll.BTODAY(),"NUMBEROFPERIODS=-1","PER=Y"), "BETA_OVERRIDE_END_DT", _xll.BTODAY(), O$4, "BETA_OVERRIDE_PERIOD=D")</f>
        <v>0.25208000000000003</v>
      </c>
      <c r="P20" s="1" cm="1">
        <f t="array" ref="P20">_xll.BDP($A20, "BETA_ADJ_OVERRIDABLE", "BETA_OVERRIDE_START_DT", _xll.BADDPERIODS(_xll.BTODAY(),"NUMBEROFPERIODS=-1","PER=Y"), "BETA_OVERRIDE_END_DT", _xll.BTODAY(), P$4, "BETA_OVERRIDE_PERIOD=D")</f>
        <v>1.119043</v>
      </c>
      <c r="Q20" s="1" cm="1">
        <f t="array" ref="Q20">_xll.BDP($A20, "BETA_ADJ_OVERRIDABLE", "BETA_OVERRIDE_START_DT", _xll.BADDPERIODS(_xll.BTODAY(),"NUMBEROFPERIODS=-1","PER=Y"), "BETA_OVERRIDE_END_DT", _xll.BTODAY(), Q$4, "BETA_OVERRIDE_PERIOD=D")</f>
        <v>4.2233299999999998</v>
      </c>
      <c r="R20" s="1" cm="1">
        <f t="array" ref="R20">_xll.BDP($A20, "BETA_ADJ_OVERRIDABLE", "BETA_OVERRIDE_START_DT", _xll.BADDPERIODS(_xll.BTODAY(),"NUMBEROFPERIODS=-1","PER=Y"), "BETA_OVERRIDE_END_DT", _xll.BTODAY(), R$4, "BETA_OVERRIDE_PERIOD=D")</f>
        <v>0.2482212</v>
      </c>
      <c r="S20" s="1" cm="1">
        <f t="array" ref="S20">_xll.BDP($A20, "BETA_ADJ_OVERRIDABLE", "BETA_OVERRIDE_START_DT", _xll.BADDPERIODS(_xll.BTODAY(),"NUMBEROFPERIODS=-1","PER=Y"), "BETA_OVERRIDE_END_DT", _xll.BTODAY(), S$4, "BETA_OVERRIDE_PERIOD=D")</f>
        <v>1.106403</v>
      </c>
      <c r="T20" s="1" cm="1">
        <f t="array" ref="T20">_xll.BDP($A20, "BETA_ADJ_OVERRIDABLE", "BETA_OVERRIDE_START_DT", _xll.BADDPERIODS(_xll.BTODAY(),"NUMBEROFPERIODS=-1","PER=Y"), "BETA_OVERRIDE_END_DT", _xll.BTODAY(), T$4, "BETA_OVERRIDE_PERIOD=D")</f>
        <v>0.78044009999999997</v>
      </c>
      <c r="U20" s="1" cm="1">
        <f t="array" ref="U20">_xll.BDP($A20, "BETA_ADJ_OVERRIDABLE", "BETA_OVERRIDE_START_DT", _xll.BADDPERIODS(_xll.BTODAY(),"NUMBEROFPERIODS=-1","PER=Y"), "BETA_OVERRIDE_END_DT", _xll.BTODAY(), U$4, "BETA_OVERRIDE_PERIOD=D")</f>
        <v>0.34528160000000002</v>
      </c>
      <c r="V20" s="1" cm="1">
        <f t="array" ref="V20">_xll.BDP($A20, "BETA_ADJ_OVERRIDABLE", "BETA_OVERRIDE_START_DT", _xll.BADDPERIODS(_xll.BTODAY(),"NUMBEROFPERIODS=-1","PER=Y"), "BETA_OVERRIDE_END_DT", _xll.BTODAY(), V$4, "BETA_OVERRIDE_PERIOD=D")</f>
        <v>0.42011159999999997</v>
      </c>
      <c r="W20" s="1" cm="1">
        <f t="array" ref="W20">_xll.BDP($A20, "BETA_ADJ_OVERRIDABLE", "BETA_OVERRIDE_START_DT", _xll.BADDPERIODS(_xll.BTODAY(),"NUMBEROFPERIODS=-1","PER=Y"), "BETA_OVERRIDE_END_DT", _xll.BTODAY(), W$4, "BETA_OVERRIDE_PERIOD=D")</f>
        <v>0.432423</v>
      </c>
      <c r="X20" s="1" cm="1">
        <f t="array" ref="X20">_xll.BDP($A20, "BETA_ADJ_OVERRIDABLE", "BETA_OVERRIDE_START_DT", _xll.BADDPERIODS(_xll.BTODAY(),"NUMBEROFPERIODS=-1","PER=Y"), "BETA_OVERRIDE_END_DT", _xll.BTODAY(), X$4, "BETA_OVERRIDE_PERIOD=D")</f>
        <v>0.33986060000000001</v>
      </c>
      <c r="Y20" s="1" cm="1">
        <f t="array" ref="Y20">_xll.BDP($A20, "BETA_ADJ_OVERRIDABLE", "BETA_OVERRIDE_START_DT", _xll.BADDPERIODS(_xll.BTODAY(),"NUMBEROFPERIODS=-1","PER=Y"), "BETA_OVERRIDE_END_DT", _xll.BTODAY(), Y$4, "BETA_OVERRIDE_PERIOD=D")</f>
        <v>0.42117209999999999</v>
      </c>
      <c r="Z20" s="1" cm="1">
        <f t="array" ref="Z20">_xll.BDP($A20, "BETA_ADJ_OVERRIDABLE", "BETA_OVERRIDE_START_DT", _xll.BADDPERIODS(_xll.BTODAY(),"NUMBEROFPERIODS=-1","PER=Y"), "BETA_OVERRIDE_END_DT", _xll.BTODAY(), Z$4, "BETA_OVERRIDE_PERIOD=D")</f>
        <v>0.67652570000000001</v>
      </c>
      <c r="AA20" s="1" cm="1">
        <f t="array" ref="AA20">_xll.BDP($A20, "BETA_ADJ_OVERRIDABLE", "BETA_OVERRIDE_START_DT", _xll.BADDPERIODS(_xll.BTODAY(),"NUMBEROFPERIODS=-1","PER=Y"), "BETA_OVERRIDE_END_DT", _xll.BTODAY(), AA$4, "BETA_OVERRIDE_PERIOD=D")</f>
        <v>0.61743650000000005</v>
      </c>
      <c r="AB20" s="1" cm="1">
        <f t="array" ref="AB20">_xll.BDP($A20, "BETA_ADJ_OVERRIDABLE", "BETA_OVERRIDE_START_DT", _xll.BADDPERIODS(_xll.BTODAY(),"NUMBEROFPERIODS=-1","PER=Y"), "BETA_OVERRIDE_END_DT", _xll.BTODAY(), AB$4, "BETA_OVERRIDE_PERIOD=D")</f>
        <v>0.46108090000000002</v>
      </c>
      <c r="AC20" s="1" cm="1">
        <f t="array" ref="AC20">_xll.BDP($A20, "BETA_ADJ_OVERRIDABLE", "BETA_OVERRIDE_START_DT", _xll.BADDPERIODS(_xll.BTODAY(),"NUMBEROFPERIODS=-1","PER=Y"), "BETA_OVERRIDE_END_DT", _xll.BTODAY(), AC$4, "BETA_OVERRIDE_PERIOD=D")</f>
        <v>0.14041339999999999</v>
      </c>
      <c r="AD20" s="1" cm="1">
        <f t="array" ref="AD20">_xll.BDP($A20, "BETA_ADJ_OVERRIDABLE", "BETA_OVERRIDE_START_DT", _xll.BADDPERIODS(_xll.BTODAY(),"NUMBEROFPERIODS=-1","PER=Y"), "BETA_OVERRIDE_END_DT", _xll.BTODAY(), AD$4, "BETA_OVERRIDE_PERIOD=D")</f>
        <v>0.77848170000000005</v>
      </c>
      <c r="AE20" s="1" cm="1">
        <f t="array" ref="AE20">_xll.BDP($A20, "BETA_ADJ_OVERRIDABLE", "BETA_OVERRIDE_START_DT", _xll.BADDPERIODS(_xll.BTODAY(),"NUMBEROFPERIODS=-1","PER=Y"), "BETA_OVERRIDE_END_DT", _xll.BTODAY(), AE$4, "BETA_OVERRIDE_PERIOD=D")</f>
        <v>0.63607290000000005</v>
      </c>
      <c r="AF20" s="1" cm="1">
        <f t="array" ref="AF20">_xll.BDP($A20, "BETA_ADJ_OVERRIDABLE", "BETA_OVERRIDE_START_DT", _xll.BADDPERIODS(_xll.BTODAY(),"NUMBEROFPERIODS=-1","PER=Y"), "BETA_OVERRIDE_END_DT", _xll.BTODAY(), AF$4, "BETA_OVERRIDE_PERIOD=D")</f>
        <v>-2.536975E-2</v>
      </c>
      <c r="AG20" s="1" cm="1">
        <f t="array" ref="AG20">_xll.BDP($A20, "BETA_ADJ_OVERRIDABLE", "BETA_OVERRIDE_START_DT", _xll.BADDPERIODS(_xll.BTODAY(),"NUMBEROFPERIODS=-1","PER=Y"), "BETA_OVERRIDE_END_DT", _xll.BTODAY(), AG$4, "BETA_OVERRIDE_PERIOD=D")</f>
        <v>0.24855579999999999</v>
      </c>
      <c r="AH20" s="1" cm="1">
        <f t="array" ref="AH20">_xll.BDP($A20, "BETA_ADJ_OVERRIDABLE", "BETA_OVERRIDE_START_DT", _xll.BADDPERIODS(_xll.BTODAY(),"NUMBEROFPERIODS=-1","PER=Y"), "BETA_OVERRIDE_END_DT", _xll.BTODAY(), AH$4, "BETA_OVERRIDE_PERIOD=D")</f>
        <v>0.57223100000000005</v>
      </c>
      <c r="AI20" s="1" cm="1">
        <f t="array" ref="AI20">_xll.BDP($A20, "BETA_ADJ_OVERRIDABLE", "BETA_OVERRIDE_START_DT", _xll.BADDPERIODS(_xll.BTODAY(),"NUMBEROFPERIODS=-1","PER=Y"), "BETA_OVERRIDE_END_DT", _xll.BTODAY(), AI$4, "BETA_OVERRIDE_PERIOD=D")</f>
        <v>0.48449920000000002</v>
      </c>
      <c r="AJ20" s="1" cm="1">
        <f t="array" ref="AJ20">_xll.BDP($A20, "BETA_ADJ_OVERRIDABLE", "BETA_OVERRIDE_START_DT", _xll.BADDPERIODS(_xll.BTODAY(),"NUMBEROFPERIODS=-1","PER=Y"), "BETA_OVERRIDE_END_DT", _xll.BTODAY(), AJ$4, "BETA_OVERRIDE_PERIOD=D")</f>
        <v>0.50869520000000001</v>
      </c>
      <c r="AK20" s="1" cm="1">
        <f t="array" ref="AK20">_xll.BDP($A20, "BETA_ADJ_OVERRIDABLE", "BETA_OVERRIDE_START_DT", _xll.BADDPERIODS(_xll.BTODAY(),"NUMBEROFPERIODS=-1","PER=Y"), "BETA_OVERRIDE_END_DT", _xll.BTODAY(), AK$4, "BETA_OVERRIDE_PERIOD=D")</f>
        <v>1.0027779999999999</v>
      </c>
      <c r="AL20" s="1" cm="1">
        <f t="array" ref="AL20">_xll.BDP($A20, "BETA_ADJ_OVERRIDABLE", "BETA_OVERRIDE_START_DT", _xll.BADDPERIODS(_xll.BTODAY(),"NUMBEROFPERIODS=-1","PER=Y"), "BETA_OVERRIDE_END_DT", _xll.BTODAY(), AL$4, "BETA_OVERRIDE_PERIOD=D")</f>
        <v>1.086946</v>
      </c>
      <c r="AM20" s="1" cm="1">
        <f t="array" ref="AM20">_xll.BDP($A20, "BETA_ADJ_OVERRIDABLE", "BETA_OVERRIDE_START_DT", _xll.BADDPERIODS(_xll.BTODAY(),"NUMBEROFPERIODS=-1","PER=Y"), "BETA_OVERRIDE_END_DT", _xll.BTODAY(), AM$4, "BETA_OVERRIDE_PERIOD=D")</f>
        <v>1.1744619999999999</v>
      </c>
    </row>
    <row r="21" spans="1:39" x14ac:dyDescent="0.25">
      <c r="A21" t="s">
        <v>57</v>
      </c>
      <c r="B21" s="1" cm="1">
        <f t="array" ref="B21">_xll.BDP($A21, "BETA_ADJ_OVERRIDABLE", "BETA_OVERRIDE_START_DT", _xll.BADDPERIODS(_xll.BTODAY(),"NUMBEROFPERIODS=-5","PER=Y"), "BETA_OVERRIDE_END_DT", _xll.BTODAY(), B$4, "BETA_OVERRIDE_PERIOD=M")</f>
        <v>1.225584</v>
      </c>
      <c r="C21" s="1" cm="1">
        <f t="array" ref="C21">_xll.BDP($A21, "BETA_ADJ_OVERRIDABLE", "BETA_OVERRIDE_START_DT", _xll.BADDPERIODS(_xll.BTODAY(),"NUMBEROFPERIODS=-3","PER=Y"), "BETA_OVERRIDE_END_DT", _xll.BTODAY(), C$4, "BETA_OVERRIDE_PERIOD=W")</f>
        <v>1.2155750000000001</v>
      </c>
      <c r="D21" s="1" cm="1">
        <f t="array" ref="D21">_xll.BDP($A21, "BETA_ADJ_OVERRIDABLE", "BETA_OVERRIDE_START_DT", _xll.BADDPERIODS(_xll.BTODAY(),"NUMBEROFPERIODS=-1","PER=Y"), "BETA_OVERRIDE_END_DT", _xll.BTODAY(), D$4, "BETA_OVERRIDE_PERIOD=D")</f>
        <v>1.19533</v>
      </c>
      <c r="E21" s="1" cm="1">
        <f t="array" ref="E21">_xll.BDP($A21, "BETA_ADJ_OVERRIDABLE", "BETA_OVERRIDE_START_DT", _xll.BADDPERIODS(_xll.BTODAY(),"NUMBEROFPERIODS=-1","PER=Y"), "BETA_OVERRIDE_END_DT", _xll.BTODAY(), E$4, "BETA_OVERRIDE_PERIOD=D")</f>
        <v>1.1570050000000001</v>
      </c>
      <c r="F21" s="1" cm="1">
        <f t="array" ref="F21">_xll.BDP($A21, "BETA_ADJ_OVERRIDABLE", "BETA_OVERRIDE_START_DT", _xll.BADDPERIODS(_xll.BTODAY(),"NUMBEROFPERIODS=-1","PER=Y"), "BETA_OVERRIDE_END_DT", _xll.BTODAY(), F$4, "BETA_OVERRIDE_PERIOD=D")</f>
        <v>1.0759780000000001</v>
      </c>
      <c r="G21" s="1" cm="1">
        <f t="array" ref="G21">_xll.BDP($A21, "BETA_ADJ_OVERRIDABLE", "BETA_OVERRIDE_START_DT", _xll.BADDPERIODS(_xll.BTODAY(),"NUMBEROFPERIODS=-1","PER=Y"), "BETA_OVERRIDE_END_DT", _xll.BTODAY(), G$4, "BETA_OVERRIDE_PERIOD=D")</f>
        <v>0.97982060000000004</v>
      </c>
      <c r="H21" s="1" cm="1">
        <f t="array" ref="H21">_xll.BDP($A21, "BETA_ADJ_OVERRIDABLE", "BETA_OVERRIDE_START_DT", _xll.BADDPERIODS(_xll.BTODAY(),"NUMBEROFPERIODS=-1","PER=Y"), "BETA_OVERRIDE_END_DT", _xll.BTODAY(), H$4, "BETA_OVERRIDE_PERIOD=D")</f>
        <v>1.354609</v>
      </c>
      <c r="I21" s="1" cm="1">
        <f t="array" ref="I21">_xll.BDP($A21, "BETA_ADJ_OVERRIDABLE", "BETA_OVERRIDE_START_DT", _xll.BADDPERIODS(_xll.BTODAY(),"NUMBEROFPERIODS=-1","PER=Y"), "BETA_OVERRIDE_END_DT", _xll.BTODAY(), I$4, "BETA_OVERRIDE_PERIOD=D")</f>
        <v>0.96788739999999995</v>
      </c>
      <c r="J21" s="1" cm="1">
        <f t="array" ref="J21">_xll.BDP($A21, "BETA_ADJ_OVERRIDABLE", "BETA_OVERRIDE_START_DT", _xll.BADDPERIODS(_xll.BTODAY(),"NUMBEROFPERIODS=-1","PER=Y"), "BETA_OVERRIDE_END_DT", _xll.BTODAY(), J$4, "BETA_OVERRIDE_PERIOD=D")</f>
        <v>0.43312780000000001</v>
      </c>
      <c r="K21" s="1" cm="1">
        <f t="array" ref="K21">_xll.BDP($A21, "BETA_ADJ_OVERRIDABLE", "BETA_OVERRIDE_START_DT", _xll.BADDPERIODS(_xll.BTODAY(),"NUMBEROFPERIODS=-1","PER=Y"), "BETA_OVERRIDE_END_DT", _xll.BTODAY(), K$4, "BETA_OVERRIDE_PERIOD=D")</f>
        <v>0.50006399999999995</v>
      </c>
      <c r="L21" s="1" cm="1">
        <f t="array" ref="L21">_xll.BDP($A21, "BETA_ADJ_OVERRIDABLE", "BETA_OVERRIDE_START_DT", _xll.BADDPERIODS(_xll.BTODAY(),"NUMBEROFPERIODS=-1","PER=Y"), "BETA_OVERRIDE_END_DT", _xll.BTODAY(), L$4, "BETA_OVERRIDE_PERIOD=D")</f>
        <v>1.3621920000000001</v>
      </c>
      <c r="M21" s="1" cm="1">
        <f t="array" ref="M21">_xll.BDP($A21, "BETA_ADJ_OVERRIDABLE", "BETA_OVERRIDE_START_DT", _xll.BADDPERIODS(_xll.BTODAY(),"NUMBEROFPERIODS=-1","PER=Y"), "BETA_OVERRIDE_END_DT", _xll.BTODAY(), M$4, "BETA_OVERRIDE_PERIOD=D")</f>
        <v>0.57616630000000002</v>
      </c>
      <c r="N21" s="1" cm="1">
        <f t="array" ref="N21">_xll.BDP($A21, "BETA_ADJ_OVERRIDABLE", "BETA_OVERRIDE_START_DT", _xll.BADDPERIODS(_xll.BTODAY(),"NUMBEROFPERIODS=-1","PER=Y"), "BETA_OVERRIDE_END_DT", _xll.BTODAY(), N$4, "BETA_OVERRIDE_PERIOD=D")</f>
        <v>0.36884549999999999</v>
      </c>
      <c r="O21" s="1" cm="1">
        <f t="array" ref="O21">_xll.BDP($A21, "BETA_ADJ_OVERRIDABLE", "BETA_OVERRIDE_START_DT", _xll.BADDPERIODS(_xll.BTODAY(),"NUMBEROFPERIODS=-1","PER=Y"), "BETA_OVERRIDE_END_DT", _xll.BTODAY(), O$4, "BETA_OVERRIDE_PERIOD=D")</f>
        <v>0.1213356</v>
      </c>
      <c r="P21" s="1" cm="1">
        <f t="array" ref="P21">_xll.BDP($A21, "BETA_ADJ_OVERRIDABLE", "BETA_OVERRIDE_START_DT", _xll.BADDPERIODS(_xll.BTODAY(),"NUMBEROFPERIODS=-1","PER=Y"), "BETA_OVERRIDE_END_DT", _xll.BTODAY(), P$4, "BETA_OVERRIDE_PERIOD=D")</f>
        <v>0.96493410000000002</v>
      </c>
      <c r="Q21" s="1" cm="1">
        <f t="array" ref="Q21">_xll.BDP($A21, "BETA_ADJ_OVERRIDABLE", "BETA_OVERRIDE_START_DT", _xll.BADDPERIODS(_xll.BTODAY(),"NUMBEROFPERIODS=-1","PER=Y"), "BETA_OVERRIDE_END_DT", _xll.BTODAY(), Q$4, "BETA_OVERRIDE_PERIOD=D")</f>
        <v>4.0136070000000004</v>
      </c>
      <c r="R21" s="1" cm="1">
        <f t="array" ref="R21">_xll.BDP($A21, "BETA_ADJ_OVERRIDABLE", "BETA_OVERRIDE_START_DT", _xll.BADDPERIODS(_xll.BTODAY(),"NUMBEROFPERIODS=-1","PER=Y"), "BETA_OVERRIDE_END_DT", _xll.BTODAY(), R$4, "BETA_OVERRIDE_PERIOD=D")</f>
        <v>9.1183459999999994E-2</v>
      </c>
      <c r="S21" s="1" cm="1">
        <f t="array" ref="S21">_xll.BDP($A21, "BETA_ADJ_OVERRIDABLE", "BETA_OVERRIDE_START_DT", _xll.BADDPERIODS(_xll.BTODAY(),"NUMBEROFPERIODS=-1","PER=Y"), "BETA_OVERRIDE_END_DT", _xll.BTODAY(), S$4, "BETA_OVERRIDE_PERIOD=D")</f>
        <v>0.99402109999999999</v>
      </c>
      <c r="T21" s="1" cm="1">
        <f t="array" ref="T21">_xll.BDP($A21, "BETA_ADJ_OVERRIDABLE", "BETA_OVERRIDE_START_DT", _xll.BADDPERIODS(_xll.BTODAY(),"NUMBEROFPERIODS=-1","PER=Y"), "BETA_OVERRIDE_END_DT", _xll.BTODAY(), T$4, "BETA_OVERRIDE_PERIOD=D")</f>
        <v>0.7226728</v>
      </c>
      <c r="U21" s="1" cm="1">
        <f t="array" ref="U21">_xll.BDP($A21, "BETA_ADJ_OVERRIDABLE", "BETA_OVERRIDE_START_DT", _xll.BADDPERIODS(_xll.BTODAY(),"NUMBEROFPERIODS=-1","PER=Y"), "BETA_OVERRIDE_END_DT", _xll.BTODAY(), U$4, "BETA_OVERRIDE_PERIOD=D")</f>
        <v>0.36884549999999999</v>
      </c>
      <c r="V21" s="1" cm="1">
        <f t="array" ref="V21">_xll.BDP($A21, "BETA_ADJ_OVERRIDABLE", "BETA_OVERRIDE_START_DT", _xll.BADDPERIODS(_xll.BTODAY(),"NUMBEROFPERIODS=-1","PER=Y"), "BETA_OVERRIDE_END_DT", _xll.BTODAY(), V$4, "BETA_OVERRIDE_PERIOD=D")</f>
        <v>0.46177560000000001</v>
      </c>
      <c r="W21" s="1" cm="1">
        <f t="array" ref="W21">_xll.BDP($A21, "BETA_ADJ_OVERRIDABLE", "BETA_OVERRIDE_START_DT", _xll.BADDPERIODS(_xll.BTODAY(),"NUMBEROFPERIODS=-1","PER=Y"), "BETA_OVERRIDE_END_DT", _xll.BTODAY(), W$4, "BETA_OVERRIDE_PERIOD=D")</f>
        <v>0.47336410000000001</v>
      </c>
      <c r="X21" s="1" cm="1">
        <f t="array" ref="X21">_xll.BDP($A21, "BETA_ADJ_OVERRIDABLE", "BETA_OVERRIDE_START_DT", _xll.BADDPERIODS(_xll.BTODAY(),"NUMBEROFPERIODS=-1","PER=Y"), "BETA_OVERRIDE_END_DT", _xll.BTODAY(), X$4, "BETA_OVERRIDE_PERIOD=D")</f>
        <v>0.32549210000000001</v>
      </c>
      <c r="Y21" s="1" cm="1">
        <f t="array" ref="Y21">_xll.BDP($A21, "BETA_ADJ_OVERRIDABLE", "BETA_OVERRIDE_START_DT", _xll.BADDPERIODS(_xll.BTODAY(),"NUMBEROFPERIODS=-1","PER=Y"), "BETA_OVERRIDE_END_DT", _xll.BTODAY(), Y$4, "BETA_OVERRIDE_PERIOD=D")</f>
        <v>0.41295120000000002</v>
      </c>
      <c r="Z21" s="1" cm="1">
        <f t="array" ref="Z21">_xll.BDP($A21, "BETA_ADJ_OVERRIDABLE", "BETA_OVERRIDE_START_DT", _xll.BADDPERIODS(_xll.BTODAY(),"NUMBEROFPERIODS=-1","PER=Y"), "BETA_OVERRIDE_END_DT", _xll.BTODAY(), Z$4, "BETA_OVERRIDE_PERIOD=D")</f>
        <v>0.72529169999999998</v>
      </c>
      <c r="AA21" s="1" cm="1">
        <f t="array" ref="AA21">_xll.BDP($A21, "BETA_ADJ_OVERRIDABLE", "BETA_OVERRIDE_START_DT", _xll.BADDPERIODS(_xll.BTODAY(),"NUMBEROFPERIODS=-1","PER=Y"), "BETA_OVERRIDE_END_DT", _xll.BTODAY(), AA$4, "BETA_OVERRIDE_PERIOD=D")</f>
        <v>0.6179289</v>
      </c>
      <c r="AB21" s="1" cm="1">
        <f t="array" ref="AB21">_xll.BDP($A21, "BETA_ADJ_OVERRIDABLE", "BETA_OVERRIDE_START_DT", _xll.BADDPERIODS(_xll.BTODAY(),"NUMBEROFPERIODS=-1","PER=Y"), "BETA_OVERRIDE_END_DT", _xll.BTODAY(), AB$4, "BETA_OVERRIDE_PERIOD=D")</f>
        <v>0.56898959999999998</v>
      </c>
      <c r="AC21" s="1" cm="1">
        <f t="array" ref="AC21">_xll.BDP($A21, "BETA_ADJ_OVERRIDABLE", "BETA_OVERRIDE_START_DT", _xll.BADDPERIODS(_xll.BTODAY(),"NUMBEROFPERIODS=-1","PER=Y"), "BETA_OVERRIDE_END_DT", _xll.BTODAY(), AC$4, "BETA_OVERRIDE_PERIOD=D")</f>
        <v>6.0169100000000003E-2</v>
      </c>
      <c r="AD21" s="1" cm="1">
        <f t="array" ref="AD21">_xll.BDP($A21, "BETA_ADJ_OVERRIDABLE", "BETA_OVERRIDE_START_DT", _xll.BADDPERIODS(_xll.BTODAY(),"NUMBEROFPERIODS=-1","PER=Y"), "BETA_OVERRIDE_END_DT", _xll.BTODAY(), AD$4, "BETA_OVERRIDE_PERIOD=D")</f>
        <v>0.82261019999999996</v>
      </c>
      <c r="AE21" s="1" cm="1">
        <f t="array" ref="AE21">_xll.BDP($A21, "BETA_ADJ_OVERRIDABLE", "BETA_OVERRIDE_START_DT", _xll.BADDPERIODS(_xll.BTODAY(),"NUMBEROFPERIODS=-1","PER=Y"), "BETA_OVERRIDE_END_DT", _xll.BTODAY(), AE$4, "BETA_OVERRIDE_PERIOD=D")</f>
        <v>0.51913759999999998</v>
      </c>
      <c r="AF21" s="1" cm="1">
        <f t="array" ref="AF21">_xll.BDP($A21, "BETA_ADJ_OVERRIDABLE", "BETA_OVERRIDE_START_DT", _xll.BADDPERIODS(_xll.BTODAY(),"NUMBEROFPERIODS=-1","PER=Y"), "BETA_OVERRIDE_END_DT", _xll.BTODAY(), AF$4, "BETA_OVERRIDE_PERIOD=D")</f>
        <v>7.8978380000000001E-2</v>
      </c>
      <c r="AG21" s="1" cm="1">
        <f t="array" ref="AG21">_xll.BDP($A21, "BETA_ADJ_OVERRIDABLE", "BETA_OVERRIDE_START_DT", _xll.BADDPERIODS(_xll.BTODAY(),"NUMBEROFPERIODS=-1","PER=Y"), "BETA_OVERRIDE_END_DT", _xll.BTODAY(), AG$4, "BETA_OVERRIDE_PERIOD=D")</f>
        <v>0.2237692</v>
      </c>
      <c r="AH21" s="1" cm="1">
        <f t="array" ref="AH21">_xll.BDP($A21, "BETA_ADJ_OVERRIDABLE", "BETA_OVERRIDE_START_DT", _xll.BADDPERIODS(_xll.BTODAY(),"NUMBEROFPERIODS=-1","PER=Y"), "BETA_OVERRIDE_END_DT", _xll.BTODAY(), AH$4, "BETA_OVERRIDE_PERIOD=D")</f>
        <v>0.55882529999999997</v>
      </c>
      <c r="AI21" s="1" cm="1">
        <f t="array" ref="AI21">_xll.BDP($A21, "BETA_ADJ_OVERRIDABLE", "BETA_OVERRIDE_START_DT", _xll.BADDPERIODS(_xll.BTODAY(),"NUMBEROFPERIODS=-1","PER=Y"), "BETA_OVERRIDE_END_DT", _xll.BTODAY(), AI$4, "BETA_OVERRIDE_PERIOD=D")</f>
        <v>0.47261690000000001</v>
      </c>
      <c r="AJ21" s="1" cm="1">
        <f t="array" ref="AJ21">_xll.BDP($A21, "BETA_ADJ_OVERRIDABLE", "BETA_OVERRIDE_START_DT", _xll.BADDPERIODS(_xll.BTODAY(),"NUMBEROFPERIODS=-1","PER=Y"), "BETA_OVERRIDE_END_DT", _xll.BTODAY(), AJ$4, "BETA_OVERRIDE_PERIOD=D")</f>
        <v>0.4934231</v>
      </c>
      <c r="AK21" s="1" cm="1">
        <f t="array" ref="AK21">_xll.BDP($A21, "BETA_ADJ_OVERRIDABLE", "BETA_OVERRIDE_START_DT", _xll.BADDPERIODS(_xll.BTODAY(),"NUMBEROFPERIODS=-1","PER=Y"), "BETA_OVERRIDE_END_DT", _xll.BTODAY(), AK$4, "BETA_OVERRIDE_PERIOD=D")</f>
        <v>0.99264770000000002</v>
      </c>
      <c r="AL21" s="1" cm="1">
        <f t="array" ref="AL21">_xll.BDP($A21, "BETA_ADJ_OVERRIDABLE", "BETA_OVERRIDE_START_DT", _xll.BADDPERIODS(_xll.BTODAY(),"NUMBEROFPERIODS=-1","PER=Y"), "BETA_OVERRIDE_END_DT", _xll.BTODAY(), AL$4, "BETA_OVERRIDE_PERIOD=D")</f>
        <v>1.0585070000000001</v>
      </c>
      <c r="AM21" s="1" cm="1">
        <f t="array" ref="AM21">_xll.BDP($A21, "BETA_ADJ_OVERRIDABLE", "BETA_OVERRIDE_START_DT", _xll.BADDPERIODS(_xll.BTODAY(),"NUMBEROFPERIODS=-1","PER=Y"), "BETA_OVERRIDE_END_DT", _xll.BTODAY(), AM$4, "BETA_OVERRIDE_PERIOD=D")</f>
        <v>1.170498</v>
      </c>
    </row>
    <row r="22" spans="1:39" x14ac:dyDescent="0.25">
      <c r="A22" t="s">
        <v>58</v>
      </c>
      <c r="B22" s="1" cm="1">
        <f t="array" ref="B22">_xll.BDP($A22, "BETA_ADJ_OVERRIDABLE", "BETA_OVERRIDE_START_DT", _xll.BADDPERIODS(_xll.BTODAY(),"NUMBEROFPERIODS=-5","PER=Y"), "BETA_OVERRIDE_END_DT", _xll.BTODAY(), B$4, "BETA_OVERRIDE_PERIOD=M")</f>
        <v>1.016364</v>
      </c>
      <c r="C22" s="1" cm="1">
        <f t="array" ref="C22">_xll.BDP($A22, "BETA_ADJ_OVERRIDABLE", "BETA_OVERRIDE_START_DT", _xll.BADDPERIODS(_xll.BTODAY(),"NUMBEROFPERIODS=-3","PER=Y"), "BETA_OVERRIDE_END_DT", _xll.BTODAY(), C$4, "BETA_OVERRIDE_PERIOD=W")</f>
        <v>0.94964009999999999</v>
      </c>
      <c r="D22" s="1" cm="1">
        <f t="array" ref="D22">_xll.BDP($A22, "BETA_ADJ_OVERRIDABLE", "BETA_OVERRIDE_START_DT", _xll.BADDPERIODS(_xll.BTODAY(),"NUMBEROFPERIODS=-1","PER=Y"), "BETA_OVERRIDE_END_DT", _xll.BTODAY(), D$4, "BETA_OVERRIDE_PERIOD=D")</f>
        <v>0.51910959999999995</v>
      </c>
      <c r="E22" s="1" cm="1">
        <f t="array" ref="E22">_xll.BDP($A22, "BETA_ADJ_OVERRIDABLE", "BETA_OVERRIDE_START_DT", _xll.BADDPERIODS(_xll.BTODAY(),"NUMBEROFPERIODS=-1","PER=Y"), "BETA_OVERRIDE_END_DT", _xll.BTODAY(), E$4, "BETA_OVERRIDE_PERIOD=D")</f>
        <v>0.50744290000000003</v>
      </c>
      <c r="F22" s="1" cm="1">
        <f t="array" ref="F22">_xll.BDP($A22, "BETA_ADJ_OVERRIDABLE", "BETA_OVERRIDE_START_DT", _xll.BADDPERIODS(_xll.BTODAY(),"NUMBEROFPERIODS=-1","PER=Y"), "BETA_OVERRIDE_END_DT", _xll.BTODAY(), F$4, "BETA_OVERRIDE_PERIOD=D")</f>
        <v>0.49389630000000001</v>
      </c>
      <c r="G22" s="1" cm="1">
        <f t="array" ref="G22">_xll.BDP($A22, "BETA_ADJ_OVERRIDABLE", "BETA_OVERRIDE_START_DT", _xll.BADDPERIODS(_xll.BTODAY(),"NUMBEROFPERIODS=-1","PER=Y"), "BETA_OVERRIDE_END_DT", _xll.BTODAY(), G$4, "BETA_OVERRIDE_PERIOD=D")</f>
        <v>0.4826165</v>
      </c>
      <c r="H22" s="1" cm="1">
        <f t="array" ref="H22">_xll.BDP($A22, "BETA_ADJ_OVERRIDABLE", "BETA_OVERRIDE_START_DT", _xll.BADDPERIODS(_xll.BTODAY(),"NUMBEROFPERIODS=-1","PER=Y"), "BETA_OVERRIDE_END_DT", _xll.BTODAY(), H$4, "BETA_OVERRIDE_PERIOD=D")</f>
        <v>0.53648490000000004</v>
      </c>
      <c r="I22" s="1" cm="1">
        <f t="array" ref="I22">_xll.BDP($A22, "BETA_ADJ_OVERRIDABLE", "BETA_OVERRIDE_START_DT", _xll.BADDPERIODS(_xll.BTODAY(),"NUMBEROFPERIODS=-1","PER=Y"), "BETA_OVERRIDE_END_DT", _xll.BTODAY(), I$4, "BETA_OVERRIDE_PERIOD=D")</f>
        <v>0.47609459999999998</v>
      </c>
      <c r="J22" s="1" cm="1">
        <f t="array" ref="J22">_xll.BDP($A22, "BETA_ADJ_OVERRIDABLE", "BETA_OVERRIDE_START_DT", _xll.BADDPERIODS(_xll.BTODAY(),"NUMBEROFPERIODS=-1","PER=Y"), "BETA_OVERRIDE_END_DT", _xll.BTODAY(), J$4, "BETA_OVERRIDE_PERIOD=D")</f>
        <v>0.9384652</v>
      </c>
      <c r="K22" s="1" cm="1">
        <f t="array" ref="K22">_xll.BDP($A22, "BETA_ADJ_OVERRIDABLE", "BETA_OVERRIDE_START_DT", _xll.BADDPERIODS(_xll.BTODAY(),"NUMBEROFPERIODS=-1","PER=Y"), "BETA_OVERRIDE_END_DT", _xll.BTODAY(), K$4, "BETA_OVERRIDE_PERIOD=D")</f>
        <v>0.81837669999999996</v>
      </c>
      <c r="L22" s="1" cm="1">
        <f t="array" ref="L22">_xll.BDP($A22, "BETA_ADJ_OVERRIDABLE", "BETA_OVERRIDE_START_DT", _xll.BADDPERIODS(_xll.BTODAY(),"NUMBEROFPERIODS=-1","PER=Y"), "BETA_OVERRIDE_END_DT", _xll.BTODAY(), L$4, "BETA_OVERRIDE_PERIOD=D")</f>
        <v>0.71479749999999997</v>
      </c>
      <c r="M22" s="1" cm="1">
        <f t="array" ref="M22">_xll.BDP($A22, "BETA_ADJ_OVERRIDABLE", "BETA_OVERRIDE_START_DT", _xll.BADDPERIODS(_xll.BTODAY(),"NUMBEROFPERIODS=-1","PER=Y"), "BETA_OVERRIDE_END_DT", _xll.BTODAY(), M$4, "BETA_OVERRIDE_PERIOD=D")</f>
        <v>0.32919730000000003</v>
      </c>
      <c r="N22" s="1" cm="1">
        <f t="array" ref="N22">_xll.BDP($A22, "BETA_ADJ_OVERRIDABLE", "BETA_OVERRIDE_START_DT", _xll.BADDPERIODS(_xll.BTODAY(),"NUMBEROFPERIODS=-1","PER=Y"), "BETA_OVERRIDE_END_DT", _xll.BTODAY(), N$4, "BETA_OVERRIDE_PERIOD=D")</f>
        <v>0.30300850000000001</v>
      </c>
      <c r="O22" s="1" cm="1">
        <f t="array" ref="O22">_xll.BDP($A22, "BETA_ADJ_OVERRIDABLE", "BETA_OVERRIDE_START_DT", _xll.BADDPERIODS(_xll.BTODAY(),"NUMBEROFPERIODS=-1","PER=Y"), "BETA_OVERRIDE_END_DT", _xll.BTODAY(), O$4, "BETA_OVERRIDE_PERIOD=D")</f>
        <v>0.32555699999999999</v>
      </c>
      <c r="P22" s="1" cm="1">
        <f t="array" ref="P22">_xll.BDP($A22, "BETA_ADJ_OVERRIDABLE", "BETA_OVERRIDE_START_DT", _xll.BADDPERIODS(_xll.BTODAY(),"NUMBEROFPERIODS=-1","PER=Y"), "BETA_OVERRIDE_END_DT", _xll.BTODAY(), P$4, "BETA_OVERRIDE_PERIOD=D")</f>
        <v>0.72263529999999998</v>
      </c>
      <c r="Q22" s="1" cm="1">
        <f t="array" ref="Q22">_xll.BDP($A22, "BETA_ADJ_OVERRIDABLE", "BETA_OVERRIDE_START_DT", _xll.BADDPERIODS(_xll.BTODAY(),"NUMBEROFPERIODS=-1","PER=Y"), "BETA_OVERRIDE_END_DT", _xll.BTODAY(), Q$4, "BETA_OVERRIDE_PERIOD=D")</f>
        <v>2.5957509999999999</v>
      </c>
      <c r="R22" s="1" cm="1">
        <f t="array" ref="R22">_xll.BDP($A22, "BETA_ADJ_OVERRIDABLE", "BETA_OVERRIDE_START_DT", _xll.BADDPERIODS(_xll.BTODAY(),"NUMBEROFPERIODS=-1","PER=Y"), "BETA_OVERRIDE_END_DT", _xll.BTODAY(), R$4, "BETA_OVERRIDE_PERIOD=D")</f>
        <v>0.35739080000000001</v>
      </c>
      <c r="S22" s="1" cm="1">
        <f t="array" ref="S22">_xll.BDP($A22, "BETA_ADJ_OVERRIDABLE", "BETA_OVERRIDE_START_DT", _xll.BADDPERIODS(_xll.BTODAY(),"NUMBEROFPERIODS=-1","PER=Y"), "BETA_OVERRIDE_END_DT", _xll.BTODAY(), S$4, "BETA_OVERRIDE_PERIOD=D")</f>
        <v>1.668148</v>
      </c>
      <c r="T22" s="1" cm="1">
        <f t="array" ref="T22">_xll.BDP($A22, "BETA_ADJ_OVERRIDABLE", "BETA_OVERRIDE_START_DT", _xll.BADDPERIODS(_xll.BTODAY(),"NUMBEROFPERIODS=-1","PER=Y"), "BETA_OVERRIDE_END_DT", _xll.BTODAY(), T$4, "BETA_OVERRIDE_PERIOD=D")</f>
        <v>0.23190279999999999</v>
      </c>
      <c r="U22" s="1" cm="1">
        <f t="array" ref="U22">_xll.BDP($A22, "BETA_ADJ_OVERRIDABLE", "BETA_OVERRIDE_START_DT", _xll.BADDPERIODS(_xll.BTODAY(),"NUMBEROFPERIODS=-1","PER=Y"), "BETA_OVERRIDE_END_DT", _xll.BTODAY(), U$4, "BETA_OVERRIDE_PERIOD=D")</f>
        <v>0.30300850000000001</v>
      </c>
      <c r="V22" s="1" cm="1">
        <f t="array" ref="V22">_xll.BDP($A22, "BETA_ADJ_OVERRIDABLE", "BETA_OVERRIDE_START_DT", _xll.BADDPERIODS(_xll.BTODAY(),"NUMBEROFPERIODS=-1","PER=Y"), "BETA_OVERRIDE_END_DT", _xll.BTODAY(), V$4, "BETA_OVERRIDE_PERIOD=D")</f>
        <v>0.32564789999999999</v>
      </c>
      <c r="W22" s="1" cm="1">
        <f t="array" ref="W22">_xll.BDP($A22, "BETA_ADJ_OVERRIDABLE", "BETA_OVERRIDE_START_DT", _xll.BADDPERIODS(_xll.BTODAY(),"NUMBEROFPERIODS=-1","PER=Y"), "BETA_OVERRIDE_END_DT", _xll.BTODAY(), W$4, "BETA_OVERRIDE_PERIOD=D")</f>
        <v>0.33643279999999998</v>
      </c>
      <c r="X22" s="1" cm="1">
        <f t="array" ref="X22">_xll.BDP($A22, "BETA_ADJ_OVERRIDABLE", "BETA_OVERRIDE_START_DT", _xll.BADDPERIODS(_xll.BTODAY(),"NUMBEROFPERIODS=-1","PER=Y"), "BETA_OVERRIDE_END_DT", _xll.BTODAY(), X$4, "BETA_OVERRIDE_PERIOD=D")</f>
        <v>0.33232479999999998</v>
      </c>
      <c r="Y22" s="1" cm="1">
        <f t="array" ref="Y22">_xll.BDP($A22, "BETA_ADJ_OVERRIDABLE", "BETA_OVERRIDE_START_DT", _xll.BADDPERIODS(_xll.BTODAY(),"NUMBEROFPERIODS=-1","PER=Y"), "BETA_OVERRIDE_END_DT", _xll.BTODAY(), Y$4, "BETA_OVERRIDE_PERIOD=D")</f>
        <v>0.41582809999999998</v>
      </c>
      <c r="Z22" s="1" cm="1">
        <f t="array" ref="Z22">_xll.BDP($A22, "BETA_ADJ_OVERRIDABLE", "BETA_OVERRIDE_START_DT", _xll.BADDPERIODS(_xll.BTODAY(),"NUMBEROFPERIODS=-1","PER=Y"), "BETA_OVERRIDE_END_DT", _xll.BTODAY(), Z$4, "BETA_OVERRIDE_PERIOD=D")</f>
        <v>0.48053980000000002</v>
      </c>
      <c r="AA22" s="1" cm="1">
        <f t="array" ref="AA22">_xll.BDP($A22, "BETA_ADJ_OVERRIDABLE", "BETA_OVERRIDE_START_DT", _xll.BADDPERIODS(_xll.BTODAY(),"NUMBEROFPERIODS=-1","PER=Y"), "BETA_OVERRIDE_END_DT", _xll.BTODAY(), AA$4, "BETA_OVERRIDE_PERIOD=D")</f>
        <v>0.54270410000000002</v>
      </c>
      <c r="AB22" s="1" cm="1">
        <f t="array" ref="AB22">_xll.BDP($A22, "BETA_ADJ_OVERRIDABLE", "BETA_OVERRIDE_START_DT", _xll.BADDPERIODS(_xll.BTODAY(),"NUMBEROFPERIODS=-1","PER=Y"), "BETA_OVERRIDE_END_DT", _xll.BTODAY(), AB$4, "BETA_OVERRIDE_PERIOD=D")</f>
        <v>0.21245829999999999</v>
      </c>
      <c r="AC22" s="1" cm="1">
        <f t="array" ref="AC22">_xll.BDP($A22, "BETA_ADJ_OVERRIDABLE", "BETA_OVERRIDE_START_DT", _xll.BADDPERIODS(_xll.BTODAY(),"NUMBEROFPERIODS=-1","PER=Y"), "BETA_OVERRIDE_END_DT", _xll.BTODAY(), AC$4, "BETA_OVERRIDE_PERIOD=D")</f>
        <v>0.37229259999999997</v>
      </c>
      <c r="AD22" s="1" cm="1">
        <f t="array" ref="AD22">_xll.BDP($A22, "BETA_ADJ_OVERRIDABLE", "BETA_OVERRIDE_START_DT", _xll.BADDPERIODS(_xll.BTODAY(),"NUMBEROFPERIODS=-1","PER=Y"), "BETA_OVERRIDE_END_DT", _xll.BTODAY(), AD$4, "BETA_OVERRIDE_PERIOD=D")</f>
        <v>0.30097220000000002</v>
      </c>
      <c r="AE22" s="1" cm="1">
        <f t="array" ref="AE22">_xll.BDP($A22, "BETA_ADJ_OVERRIDABLE", "BETA_OVERRIDE_START_DT", _xll.BADDPERIODS(_xll.BTODAY(),"NUMBEROFPERIODS=-1","PER=Y"), "BETA_OVERRIDE_END_DT", _xll.BTODAY(), AE$4, "BETA_OVERRIDE_PERIOD=D")</f>
        <v>0.74182409999999999</v>
      </c>
      <c r="AF22" s="1" cm="1">
        <f t="array" ref="AF22">_xll.BDP($A22, "BETA_ADJ_OVERRIDABLE", "BETA_OVERRIDE_START_DT", _xll.BADDPERIODS(_xll.BTODAY(),"NUMBEROFPERIODS=-1","PER=Y"), "BETA_OVERRIDE_END_DT", _xll.BTODAY(), AF$4, "BETA_OVERRIDE_PERIOD=D")</f>
        <v>-0.53334950000000003</v>
      </c>
      <c r="AG22" s="1" cm="1">
        <f t="array" ref="AG22">_xll.BDP($A22, "BETA_ADJ_OVERRIDABLE", "BETA_OVERRIDE_START_DT", _xll.BADDPERIODS(_xll.BTODAY(),"NUMBEROFPERIODS=-1","PER=Y"), "BETA_OVERRIDE_END_DT", _xll.BTODAY(), AG$4, "BETA_OVERRIDE_PERIOD=D")</f>
        <v>1.340535</v>
      </c>
      <c r="AH22" s="1" cm="1">
        <f t="array" ref="AH22">_xll.BDP($A22, "BETA_ADJ_OVERRIDABLE", "BETA_OVERRIDE_START_DT", _xll.BADDPERIODS(_xll.BTODAY(),"NUMBEROFPERIODS=-1","PER=Y"), "BETA_OVERRIDE_END_DT", _xll.BTODAY(), AH$4, "BETA_OVERRIDE_PERIOD=D")</f>
        <v>0.35965609999999998</v>
      </c>
      <c r="AI22" s="1" cm="1">
        <f t="array" ref="AI22">_xll.BDP($A22, "BETA_ADJ_OVERRIDABLE", "BETA_OVERRIDE_START_DT", _xll.BADDPERIODS(_xll.BTODAY(),"NUMBEROFPERIODS=-1","PER=Y"), "BETA_OVERRIDE_END_DT", _xll.BTODAY(), AI$4, "BETA_OVERRIDE_PERIOD=D")</f>
        <v>0.36674580000000001</v>
      </c>
      <c r="AJ22" s="1" cm="1">
        <f t="array" ref="AJ22">_xll.BDP($A22, "BETA_ADJ_OVERRIDABLE", "BETA_OVERRIDE_START_DT", _xll.BADDPERIODS(_xll.BTODAY(),"NUMBEROFPERIODS=-1","PER=Y"), "BETA_OVERRIDE_END_DT", _xll.BTODAY(), AJ$4, "BETA_OVERRIDE_PERIOD=D")</f>
        <v>0.38920110000000002</v>
      </c>
      <c r="AK22" s="1" cm="1">
        <f t="array" ref="AK22">_xll.BDP($A22, "BETA_ADJ_OVERRIDABLE", "BETA_OVERRIDE_START_DT", _xll.BADDPERIODS(_xll.BTODAY(),"NUMBEROFPERIODS=-1","PER=Y"), "BETA_OVERRIDE_END_DT", _xll.BTODAY(), AK$4, "BETA_OVERRIDE_PERIOD=D")</f>
        <v>0.44637389999999999</v>
      </c>
      <c r="AL22" s="1" cm="1">
        <f t="array" ref="AL22">_xll.BDP($A22, "BETA_ADJ_OVERRIDABLE", "BETA_OVERRIDE_START_DT", _xll.BADDPERIODS(_xll.BTODAY(),"NUMBEROFPERIODS=-1","PER=Y"), "BETA_OVERRIDE_END_DT", _xll.BTODAY(), AL$4, "BETA_OVERRIDE_PERIOD=D")</f>
        <v>0.60422379999999998</v>
      </c>
      <c r="AM22" s="1" cm="1">
        <f t="array" ref="AM22">_xll.BDP($A22, "BETA_ADJ_OVERRIDABLE", "BETA_OVERRIDE_START_DT", _xll.BADDPERIODS(_xll.BTODAY(),"NUMBEROFPERIODS=-1","PER=Y"), "BETA_OVERRIDE_END_DT", _xll.BTODAY(), AM$4, "BETA_OVERRIDE_PERIOD=D")</f>
        <v>0.53171000000000002</v>
      </c>
    </row>
    <row r="23" spans="1:39" x14ac:dyDescent="0.25">
      <c r="A23" t="s">
        <v>59</v>
      </c>
      <c r="B23" s="1" cm="1">
        <f t="array" ref="B23">_xll.BDP($A23, "BETA_ADJ_OVERRIDABLE", "BETA_OVERRIDE_START_DT", _xll.BADDPERIODS(_xll.BTODAY(),"NUMBEROFPERIODS=-5","PER=Y"), "BETA_OVERRIDE_END_DT", _xll.BTODAY(), B$4, "BETA_OVERRIDE_PERIOD=M")</f>
        <v>1.097912</v>
      </c>
      <c r="C23" s="1" cm="1">
        <f t="array" ref="C23">_xll.BDP($A23, "BETA_ADJ_OVERRIDABLE", "BETA_OVERRIDE_START_DT", _xll.BADDPERIODS(_xll.BTODAY(),"NUMBEROFPERIODS=-3","PER=Y"), "BETA_OVERRIDE_END_DT", _xll.BTODAY(), C$4, "BETA_OVERRIDE_PERIOD=W")</f>
        <v>1.293102</v>
      </c>
      <c r="D23" s="1" cm="1">
        <f t="array" ref="D23">_xll.BDP($A23, "BETA_ADJ_OVERRIDABLE", "BETA_OVERRIDE_START_DT", _xll.BADDPERIODS(_xll.BTODAY(),"NUMBEROFPERIODS=-1","PER=Y"), "BETA_OVERRIDE_END_DT", _xll.BTODAY(), D$4, "BETA_OVERRIDE_PERIOD=D")</f>
        <v>1.2028190000000001</v>
      </c>
      <c r="E23" s="1" cm="1">
        <f t="array" ref="E23">_xll.BDP($A23, "BETA_ADJ_OVERRIDABLE", "BETA_OVERRIDE_START_DT", _xll.BADDPERIODS(_xll.BTODAY(),"NUMBEROFPERIODS=-1","PER=Y"), "BETA_OVERRIDE_END_DT", _xll.BTODAY(), E$4, "BETA_OVERRIDE_PERIOD=D")</f>
        <v>1.0805169999999999</v>
      </c>
      <c r="F23" s="1" cm="1">
        <f t="array" ref="F23">_xll.BDP($A23, "BETA_ADJ_OVERRIDABLE", "BETA_OVERRIDE_START_DT", _xll.BADDPERIODS(_xll.BTODAY(),"NUMBEROFPERIODS=-1","PER=Y"), "BETA_OVERRIDE_END_DT", _xll.BTODAY(), F$4, "BETA_OVERRIDE_PERIOD=D")</f>
        <v>1.0016830000000001</v>
      </c>
      <c r="G23" s="1" cm="1">
        <f t="array" ref="G23">_xll.BDP($A23, "BETA_ADJ_OVERRIDABLE", "BETA_OVERRIDE_START_DT", _xll.BADDPERIODS(_xll.BTODAY(),"NUMBEROFPERIODS=-1","PER=Y"), "BETA_OVERRIDE_END_DT", _xll.BTODAY(), G$4, "BETA_OVERRIDE_PERIOD=D")</f>
        <v>1.0299389999999999</v>
      </c>
      <c r="H23" s="1" cm="1">
        <f t="array" ref="H23">_xll.BDP($A23, "BETA_ADJ_OVERRIDABLE", "BETA_OVERRIDE_START_DT", _xll.BADDPERIODS(_xll.BTODAY(),"NUMBEROFPERIODS=-1","PER=Y"), "BETA_OVERRIDE_END_DT", _xll.BTODAY(), H$4, "BETA_OVERRIDE_PERIOD=D")</f>
        <v>1.2291030000000001</v>
      </c>
      <c r="I23" s="1" cm="1">
        <f t="array" ref="I23">_xll.BDP($A23, "BETA_ADJ_OVERRIDABLE", "BETA_OVERRIDE_START_DT", _xll.BADDPERIODS(_xll.BTODAY(),"NUMBEROFPERIODS=-1","PER=Y"), "BETA_OVERRIDE_END_DT", _xll.BTODAY(), I$4, "BETA_OVERRIDE_PERIOD=D")</f>
        <v>1.0307949999999999</v>
      </c>
      <c r="J23" s="1" cm="1">
        <f t="array" ref="J23">_xll.BDP($A23, "BETA_ADJ_OVERRIDABLE", "BETA_OVERRIDE_START_DT", _xll.BADDPERIODS(_xll.BTODAY(),"NUMBEROFPERIODS=-1","PER=Y"), "BETA_OVERRIDE_END_DT", _xll.BTODAY(), J$4, "BETA_OVERRIDE_PERIOD=D")</f>
        <v>0.46373130000000001</v>
      </c>
      <c r="K23" s="1" cm="1">
        <f t="array" ref="K23">_xll.BDP($A23, "BETA_ADJ_OVERRIDABLE", "BETA_OVERRIDE_START_DT", _xll.BADDPERIODS(_xll.BTODAY(),"NUMBEROFPERIODS=-1","PER=Y"), "BETA_OVERRIDE_END_DT", _xll.BTODAY(), K$4, "BETA_OVERRIDE_PERIOD=D")</f>
        <v>0.45831739999999999</v>
      </c>
      <c r="L23" s="1" cm="1">
        <f t="array" ref="L23">_xll.BDP($A23, "BETA_ADJ_OVERRIDABLE", "BETA_OVERRIDE_START_DT", _xll.BADDPERIODS(_xll.BTODAY(),"NUMBEROFPERIODS=-1","PER=Y"), "BETA_OVERRIDE_END_DT", _xll.BTODAY(), L$4, "BETA_OVERRIDE_PERIOD=D")</f>
        <v>1.3952640000000001</v>
      </c>
      <c r="M23" s="1" cm="1">
        <f t="array" ref="M23">_xll.BDP($A23, "BETA_ADJ_OVERRIDABLE", "BETA_OVERRIDE_START_DT", _xll.BADDPERIODS(_xll.BTODAY(),"NUMBEROFPERIODS=-1","PER=Y"), "BETA_OVERRIDE_END_DT", _xll.BTODAY(), M$4, "BETA_OVERRIDE_PERIOD=D")</f>
        <v>0.57247749999999997</v>
      </c>
      <c r="N23" s="1" cm="1">
        <f t="array" ref="N23">_xll.BDP($A23, "BETA_ADJ_OVERRIDABLE", "BETA_OVERRIDE_START_DT", _xll.BADDPERIODS(_xll.BTODAY(),"NUMBEROFPERIODS=-1","PER=Y"), "BETA_OVERRIDE_END_DT", _xll.BTODAY(), N$4, "BETA_OVERRIDE_PERIOD=D")</f>
        <v>0.3757144</v>
      </c>
      <c r="O23" s="1" cm="1">
        <f t="array" ref="O23">_xll.BDP($A23, "BETA_ADJ_OVERRIDABLE", "BETA_OVERRIDE_START_DT", _xll.BADDPERIODS(_xll.BTODAY(),"NUMBEROFPERIODS=-1","PER=Y"), "BETA_OVERRIDE_END_DT", _xll.BTODAY(), O$4, "BETA_OVERRIDE_PERIOD=D")</f>
        <v>9.9611149999999996E-2</v>
      </c>
      <c r="P23" s="1" cm="1">
        <f t="array" ref="P23">_xll.BDP($A23, "BETA_ADJ_OVERRIDABLE", "BETA_OVERRIDE_START_DT", _xll.BADDPERIODS(_xll.BTODAY(),"NUMBEROFPERIODS=-1","PER=Y"), "BETA_OVERRIDE_END_DT", _xll.BTODAY(), P$4, "BETA_OVERRIDE_PERIOD=D")</f>
        <v>0.89893029999999996</v>
      </c>
      <c r="Q23" s="1" cm="1">
        <f t="array" ref="Q23">_xll.BDP($A23, "BETA_ADJ_OVERRIDABLE", "BETA_OVERRIDE_START_DT", _xll.BADDPERIODS(_xll.BTODAY(),"NUMBEROFPERIODS=-1","PER=Y"), "BETA_OVERRIDE_END_DT", _xll.BTODAY(), Q$4, "BETA_OVERRIDE_PERIOD=D")</f>
        <v>3.9109989999999999</v>
      </c>
      <c r="R23" s="1" cm="1">
        <f t="array" ref="R23">_xll.BDP($A23, "BETA_ADJ_OVERRIDABLE", "BETA_OVERRIDE_START_DT", _xll.BADDPERIODS(_xll.BTODAY(),"NUMBEROFPERIODS=-1","PER=Y"), "BETA_OVERRIDE_END_DT", _xll.BTODAY(), R$4, "BETA_OVERRIDE_PERIOD=D")</f>
        <v>8.2284679999999999E-2</v>
      </c>
      <c r="S23" s="1" cm="1">
        <f t="array" ref="S23">_xll.BDP($A23, "BETA_ADJ_OVERRIDABLE", "BETA_OVERRIDE_START_DT", _xll.BADDPERIODS(_xll.BTODAY(),"NUMBEROFPERIODS=-1","PER=Y"), "BETA_OVERRIDE_END_DT", _xll.BTODAY(), S$4, "BETA_OVERRIDE_PERIOD=D")</f>
        <v>1.0246139999999999</v>
      </c>
      <c r="T23" s="1" cm="1">
        <f t="array" ref="T23">_xll.BDP($A23, "BETA_ADJ_OVERRIDABLE", "BETA_OVERRIDE_START_DT", _xll.BADDPERIODS(_xll.BTODAY(),"NUMBEROFPERIODS=-1","PER=Y"), "BETA_OVERRIDE_END_DT", _xll.BTODAY(), T$4, "BETA_OVERRIDE_PERIOD=D")</f>
        <v>0.59015419999999996</v>
      </c>
      <c r="U23" s="1" cm="1">
        <f t="array" ref="U23">_xll.BDP($A23, "BETA_ADJ_OVERRIDABLE", "BETA_OVERRIDE_START_DT", _xll.BADDPERIODS(_xll.BTODAY(),"NUMBEROFPERIODS=-1","PER=Y"), "BETA_OVERRIDE_END_DT", _xll.BTODAY(), U$4, "BETA_OVERRIDE_PERIOD=D")</f>
        <v>0.3757144</v>
      </c>
      <c r="V23" s="1" cm="1">
        <f t="array" ref="V23">_xll.BDP($A23, "BETA_ADJ_OVERRIDABLE", "BETA_OVERRIDE_START_DT", _xll.BADDPERIODS(_xll.BTODAY(),"NUMBEROFPERIODS=-1","PER=Y"), "BETA_OVERRIDE_END_DT", _xll.BTODAY(), V$4, "BETA_OVERRIDE_PERIOD=D")</f>
        <v>0.4256974</v>
      </c>
      <c r="W23" s="1" cm="1">
        <f t="array" ref="W23">_xll.BDP($A23, "BETA_ADJ_OVERRIDABLE", "BETA_OVERRIDE_START_DT", _xll.BADDPERIODS(_xll.BTODAY(),"NUMBEROFPERIODS=-1","PER=Y"), "BETA_OVERRIDE_END_DT", _xll.BTODAY(), W$4, "BETA_OVERRIDE_PERIOD=D")</f>
        <v>0.44172280000000003</v>
      </c>
      <c r="X23" s="1" cm="1">
        <f t="array" ref="X23">_xll.BDP($A23, "BETA_ADJ_OVERRIDABLE", "BETA_OVERRIDE_START_DT", _xll.BADDPERIODS(_xll.BTODAY(),"NUMBEROFPERIODS=-1","PER=Y"), "BETA_OVERRIDE_END_DT", _xll.BTODAY(), X$4, "BETA_OVERRIDE_PERIOD=D")</f>
        <v>0.35079260000000001</v>
      </c>
      <c r="Y23" s="1" cm="1">
        <f t="array" ref="Y23">_xll.BDP($A23, "BETA_ADJ_OVERRIDABLE", "BETA_OVERRIDE_START_DT", _xll.BADDPERIODS(_xll.BTODAY(),"NUMBEROFPERIODS=-1","PER=Y"), "BETA_OVERRIDE_END_DT", _xll.BTODAY(), Y$4, "BETA_OVERRIDE_PERIOD=D")</f>
        <v>0.41087249999999997</v>
      </c>
      <c r="Z23" s="1" cm="1">
        <f t="array" ref="Z23">_xll.BDP($A23, "BETA_ADJ_OVERRIDABLE", "BETA_OVERRIDE_START_DT", _xll.BADDPERIODS(_xll.BTODAY(),"NUMBEROFPERIODS=-1","PER=Y"), "BETA_OVERRIDE_END_DT", _xll.BTODAY(), Z$4, "BETA_OVERRIDE_PERIOD=D")</f>
        <v>0.63837330000000003</v>
      </c>
      <c r="AA23" s="1" cm="1">
        <f t="array" ref="AA23">_xll.BDP($A23, "BETA_ADJ_OVERRIDABLE", "BETA_OVERRIDE_START_DT", _xll.BADDPERIODS(_xll.BTODAY(),"NUMBEROFPERIODS=-1","PER=Y"), "BETA_OVERRIDE_END_DT", _xll.BTODAY(), AA$4, "BETA_OVERRIDE_PERIOD=D")</f>
        <v>0.53355209999999997</v>
      </c>
      <c r="AB23" s="1" cm="1">
        <f t="array" ref="AB23">_xll.BDP($A23, "BETA_ADJ_OVERRIDABLE", "BETA_OVERRIDE_START_DT", _xll.BADDPERIODS(_xll.BTODAY(),"NUMBEROFPERIODS=-1","PER=Y"), "BETA_OVERRIDE_END_DT", _xll.BTODAY(), AB$4, "BETA_OVERRIDE_PERIOD=D")</f>
        <v>0.545964</v>
      </c>
      <c r="AC23" s="1" cm="1">
        <f t="array" ref="AC23">_xll.BDP($A23, "BETA_ADJ_OVERRIDABLE", "BETA_OVERRIDE_START_DT", _xll.BADDPERIODS(_xll.BTODAY(),"NUMBEROFPERIODS=-1","PER=Y"), "BETA_OVERRIDE_END_DT", _xll.BTODAY(), AC$4, "BETA_OVERRIDE_PERIOD=D")</f>
        <v>7.988257E-2</v>
      </c>
      <c r="AD23" s="1" cm="1">
        <f t="array" ref="AD23">_xll.BDP($A23, "BETA_ADJ_OVERRIDABLE", "BETA_OVERRIDE_START_DT", _xll.BADDPERIODS(_xll.BTODAY(),"NUMBEROFPERIODS=-1","PER=Y"), "BETA_OVERRIDE_END_DT", _xll.BTODAY(), AD$4, "BETA_OVERRIDE_PERIOD=D")</f>
        <v>0.80770319999999995</v>
      </c>
      <c r="AE23" s="1" cm="1">
        <f t="array" ref="AE23">_xll.BDP($A23, "BETA_ADJ_OVERRIDABLE", "BETA_OVERRIDE_START_DT", _xll.BADDPERIODS(_xll.BTODAY(),"NUMBEROFPERIODS=-1","PER=Y"), "BETA_OVERRIDE_END_DT", _xll.BTODAY(), AE$4, "BETA_OVERRIDE_PERIOD=D")</f>
        <v>0.52675380000000005</v>
      </c>
      <c r="AF23" s="1" cm="1">
        <f t="array" ref="AF23">_xll.BDP($A23, "BETA_ADJ_OVERRIDABLE", "BETA_OVERRIDE_START_DT", _xll.BADDPERIODS(_xll.BTODAY(),"NUMBEROFPERIODS=-1","PER=Y"), "BETA_OVERRIDE_END_DT", _xll.BTODAY(), AF$4, "BETA_OVERRIDE_PERIOD=D")</f>
        <v>0.1651396</v>
      </c>
      <c r="AG23" s="1" cm="1">
        <f t="array" ref="AG23">_xll.BDP($A23, "BETA_ADJ_OVERRIDABLE", "BETA_OVERRIDE_START_DT", _xll.BADDPERIODS(_xll.BTODAY(),"NUMBEROFPERIODS=-1","PER=Y"), "BETA_OVERRIDE_END_DT", _xll.BTODAY(), AG$4, "BETA_OVERRIDE_PERIOD=D")</f>
        <v>0.18471360000000001</v>
      </c>
      <c r="AH23" s="1" cm="1">
        <f t="array" ref="AH23">_xll.BDP($A23, "BETA_ADJ_OVERRIDABLE", "BETA_OVERRIDE_START_DT", _xll.BADDPERIODS(_xll.BTODAY(),"NUMBEROFPERIODS=-1","PER=Y"), "BETA_OVERRIDE_END_DT", _xll.BTODAY(), AH$4, "BETA_OVERRIDE_PERIOD=D")</f>
        <v>0.52671319999999999</v>
      </c>
      <c r="AI23" s="1" cm="1">
        <f t="array" ref="AI23">_xll.BDP($A23, "BETA_ADJ_OVERRIDABLE", "BETA_OVERRIDE_START_DT", _xll.BADDPERIODS(_xll.BTODAY(),"NUMBEROFPERIODS=-1","PER=Y"), "BETA_OVERRIDE_END_DT", _xll.BTODAY(), AI$4, "BETA_OVERRIDE_PERIOD=D")</f>
        <v>0.4508993</v>
      </c>
      <c r="AJ23" s="1" cm="1">
        <f t="array" ref="AJ23">_xll.BDP($A23, "BETA_ADJ_OVERRIDABLE", "BETA_OVERRIDE_START_DT", _xll.BADDPERIODS(_xll.BTODAY(),"NUMBEROFPERIODS=-1","PER=Y"), "BETA_OVERRIDE_END_DT", _xll.BTODAY(), AJ$4, "BETA_OVERRIDE_PERIOD=D")</f>
        <v>0.46887689999999999</v>
      </c>
      <c r="AK23" s="1" cm="1">
        <f t="array" ref="AK23">_xll.BDP($A23, "BETA_ADJ_OVERRIDABLE", "BETA_OVERRIDE_START_DT", _xll.BADDPERIODS(_xll.BTODAY(),"NUMBEROFPERIODS=-1","PER=Y"), "BETA_OVERRIDE_END_DT", _xll.BTODAY(), AK$4, "BETA_OVERRIDE_PERIOD=D")</f>
        <v>0.90398849999999997</v>
      </c>
      <c r="AL23" s="1" cm="1">
        <f t="array" ref="AL23">_xll.BDP($A23, "BETA_ADJ_OVERRIDABLE", "BETA_OVERRIDE_START_DT", _xll.BADDPERIODS(_xll.BTODAY(),"NUMBEROFPERIODS=-1","PER=Y"), "BETA_OVERRIDE_END_DT", _xll.BTODAY(), AL$4, "BETA_OVERRIDE_PERIOD=D")</f>
        <v>0.97050619999999999</v>
      </c>
      <c r="AM23" s="1" cm="1">
        <f t="array" ref="AM23">_xll.BDP($A23, "BETA_ADJ_OVERRIDABLE", "BETA_OVERRIDE_START_DT", _xll.BADDPERIODS(_xll.BTODAY(),"NUMBEROFPERIODS=-1","PER=Y"), "BETA_OVERRIDE_END_DT", _xll.BTODAY(), AM$4, "BETA_OVERRIDE_PERIOD=D")</f>
        <v>1.0409330000000001</v>
      </c>
    </row>
    <row r="24" spans="1:39" x14ac:dyDescent="0.25">
      <c r="A24" t="s">
        <v>60</v>
      </c>
      <c r="B24" s="1" cm="1">
        <f t="array" ref="B24">_xll.BDP($A24, "BETA_ADJ_OVERRIDABLE", "BETA_OVERRIDE_START_DT", _xll.BADDPERIODS(_xll.BTODAY(),"NUMBEROFPERIODS=-5","PER=Y"), "BETA_OVERRIDE_END_DT", _xll.BTODAY(), B$4, "BETA_OVERRIDE_PERIOD=M")</f>
        <v>0.95704929999999999</v>
      </c>
      <c r="C24" s="1" cm="1">
        <f t="array" ref="C24">_xll.BDP($A24, "BETA_ADJ_OVERRIDABLE", "BETA_OVERRIDE_START_DT", _xll.BADDPERIODS(_xll.BTODAY(),"NUMBEROFPERIODS=-3","PER=Y"), "BETA_OVERRIDE_END_DT", _xll.BTODAY(), C$4, "BETA_OVERRIDE_PERIOD=W")</f>
        <v>0.89005449999999997</v>
      </c>
      <c r="D24" s="1" cm="1">
        <f t="array" ref="D24">_xll.BDP($A24, "BETA_ADJ_OVERRIDABLE", "BETA_OVERRIDE_START_DT", _xll.BADDPERIODS(_xll.BTODAY(),"NUMBEROFPERIODS=-1","PER=Y"), "BETA_OVERRIDE_END_DT", _xll.BTODAY(), D$4, "BETA_OVERRIDE_PERIOD=D")</f>
        <v>0.76837299999999997</v>
      </c>
      <c r="E24" s="1" cm="1">
        <f t="array" ref="E24">_xll.BDP($A24, "BETA_ADJ_OVERRIDABLE", "BETA_OVERRIDE_START_DT", _xll.BADDPERIODS(_xll.BTODAY(),"NUMBEROFPERIODS=-1","PER=Y"), "BETA_OVERRIDE_END_DT", _xll.BTODAY(), E$4, "BETA_OVERRIDE_PERIOD=D")</f>
        <v>0.85081070000000003</v>
      </c>
      <c r="F24" s="1" cm="1">
        <f t="array" ref="F24">_xll.BDP($A24, "BETA_ADJ_OVERRIDABLE", "BETA_OVERRIDE_START_DT", _xll.BADDPERIODS(_xll.BTODAY(),"NUMBEROFPERIODS=-1","PER=Y"), "BETA_OVERRIDE_END_DT", _xll.BTODAY(), F$4, "BETA_OVERRIDE_PERIOD=D")</f>
        <v>0.77221720000000005</v>
      </c>
      <c r="G24" s="1" cm="1">
        <f t="array" ref="G24">_xll.BDP($A24, "BETA_ADJ_OVERRIDABLE", "BETA_OVERRIDE_START_DT", _xll.BADDPERIODS(_xll.BTODAY(),"NUMBEROFPERIODS=-1","PER=Y"), "BETA_OVERRIDE_END_DT", _xll.BTODAY(), G$4, "BETA_OVERRIDE_PERIOD=D")</f>
        <v>0.60668060000000001</v>
      </c>
      <c r="H24" s="1" cm="1">
        <f t="array" ref="H24">_xll.BDP($A24, "BETA_ADJ_OVERRIDABLE", "BETA_OVERRIDE_START_DT", _xll.BADDPERIODS(_xll.BTODAY(),"NUMBEROFPERIODS=-1","PER=Y"), "BETA_OVERRIDE_END_DT", _xll.BTODAY(), H$4, "BETA_OVERRIDE_PERIOD=D")</f>
        <v>1.0047539999999999</v>
      </c>
      <c r="I24" s="1" cm="1">
        <f t="array" ref="I24">_xll.BDP($A24, "BETA_ADJ_OVERRIDABLE", "BETA_OVERRIDE_START_DT", _xll.BADDPERIODS(_xll.BTODAY(),"NUMBEROFPERIODS=-1","PER=Y"), "BETA_OVERRIDE_END_DT", _xll.BTODAY(), I$4, "BETA_OVERRIDE_PERIOD=D")</f>
        <v>0.59346209999999999</v>
      </c>
      <c r="J24" s="1" cm="1">
        <f t="array" ref="J24">_xll.BDP($A24, "BETA_ADJ_OVERRIDABLE", "BETA_OVERRIDE_START_DT", _xll.BADDPERIODS(_xll.BTODAY(),"NUMBEROFPERIODS=-1","PER=Y"), "BETA_OVERRIDE_END_DT", _xll.BTODAY(), J$4, "BETA_OVERRIDE_PERIOD=D")</f>
        <v>0.53021759999999996</v>
      </c>
      <c r="K24" s="1" cm="1">
        <f t="array" ref="K24">_xll.BDP($A24, "BETA_ADJ_OVERRIDABLE", "BETA_OVERRIDE_START_DT", _xll.BADDPERIODS(_xll.BTODAY(),"NUMBEROFPERIODS=-1","PER=Y"), "BETA_OVERRIDE_END_DT", _xll.BTODAY(), K$4, "BETA_OVERRIDE_PERIOD=D")</f>
        <v>0.59151860000000001</v>
      </c>
      <c r="L24" s="1" cm="1">
        <f t="array" ref="L24">_xll.BDP($A24, "BETA_ADJ_OVERRIDABLE", "BETA_OVERRIDE_START_DT", _xll.BADDPERIODS(_xll.BTODAY(),"NUMBEROFPERIODS=-1","PER=Y"), "BETA_OVERRIDE_END_DT", _xll.BTODAY(), L$4, "BETA_OVERRIDE_PERIOD=D")</f>
        <v>0.89282850000000002</v>
      </c>
      <c r="M24" s="1" cm="1">
        <f t="array" ref="M24">_xll.BDP($A24, "BETA_ADJ_OVERRIDABLE", "BETA_OVERRIDE_START_DT", _xll.BADDPERIODS(_xll.BTODAY(),"NUMBEROFPERIODS=-1","PER=Y"), "BETA_OVERRIDE_END_DT", _xll.BTODAY(), M$4, "BETA_OVERRIDE_PERIOD=D")</f>
        <v>0.36163719999999999</v>
      </c>
      <c r="N24" s="1" cm="1">
        <f t="array" ref="N24">_xll.BDP($A24, "BETA_ADJ_OVERRIDABLE", "BETA_OVERRIDE_START_DT", _xll.BADDPERIODS(_xll.BTODAY(),"NUMBEROFPERIODS=-1","PER=Y"), "BETA_OVERRIDE_END_DT", _xll.BTODAY(), N$4, "BETA_OVERRIDE_PERIOD=D")</f>
        <v>0.16910529999999999</v>
      </c>
      <c r="O24" s="1" cm="1">
        <f t="array" ref="O24">_xll.BDP($A24, "BETA_ADJ_OVERRIDABLE", "BETA_OVERRIDE_START_DT", _xll.BADDPERIODS(_xll.BTODAY(),"NUMBEROFPERIODS=-1","PER=Y"), "BETA_OVERRIDE_END_DT", _xll.BTODAY(), O$4, "BETA_OVERRIDE_PERIOD=D")</f>
        <v>1.017139</v>
      </c>
      <c r="P24" s="1" cm="1">
        <f t="array" ref="P24">_xll.BDP($A24, "BETA_ADJ_OVERRIDABLE", "BETA_OVERRIDE_START_DT", _xll.BADDPERIODS(_xll.BTODAY(),"NUMBEROFPERIODS=-1","PER=Y"), "BETA_OVERRIDE_END_DT", _xll.BTODAY(), P$4, "BETA_OVERRIDE_PERIOD=D")</f>
        <v>1.4072009999999999</v>
      </c>
      <c r="Q24" s="1" cm="1">
        <f t="array" ref="Q24">_xll.BDP($A24, "BETA_ADJ_OVERRIDABLE", "BETA_OVERRIDE_START_DT", _xll.BADDPERIODS(_xll.BTODAY(),"NUMBEROFPERIODS=-1","PER=Y"), "BETA_OVERRIDE_END_DT", _xll.BTODAY(), Q$4, "BETA_OVERRIDE_PERIOD=D")</f>
        <v>2.9010389999999999</v>
      </c>
      <c r="R24" s="1" cm="1">
        <f t="array" ref="R24">_xll.BDP($A24, "BETA_ADJ_OVERRIDABLE", "BETA_OVERRIDE_START_DT", _xll.BADDPERIODS(_xll.BTODAY(),"NUMBEROFPERIODS=-1","PER=Y"), "BETA_OVERRIDE_END_DT", _xll.BTODAY(), R$4, "BETA_OVERRIDE_PERIOD=D")</f>
        <v>0.96262060000000005</v>
      </c>
      <c r="S24" s="1" cm="1">
        <f t="array" ref="S24">_xll.BDP($A24, "BETA_ADJ_OVERRIDABLE", "BETA_OVERRIDE_START_DT", _xll.BADDPERIODS(_xll.BTODAY(),"NUMBEROFPERIODS=-1","PER=Y"), "BETA_OVERRIDE_END_DT", _xll.BTODAY(), S$4, "BETA_OVERRIDE_PERIOD=D")</f>
        <v>1.2180329999999999</v>
      </c>
      <c r="T24" s="1" cm="1">
        <f t="array" ref="T24">_xll.BDP($A24, "BETA_ADJ_OVERRIDABLE", "BETA_OVERRIDE_START_DT", _xll.BADDPERIODS(_xll.BTODAY(),"NUMBEROFPERIODS=-1","PER=Y"), "BETA_OVERRIDE_END_DT", _xll.BTODAY(), T$4, "BETA_OVERRIDE_PERIOD=D")</f>
        <v>1.132593</v>
      </c>
      <c r="U24" s="1" cm="1">
        <f t="array" ref="U24">_xll.BDP($A24, "BETA_ADJ_OVERRIDABLE", "BETA_OVERRIDE_START_DT", _xll.BADDPERIODS(_xll.BTODAY(),"NUMBEROFPERIODS=-1","PER=Y"), "BETA_OVERRIDE_END_DT", _xll.BTODAY(), U$4, "BETA_OVERRIDE_PERIOD=D")</f>
        <v>0.16910529999999999</v>
      </c>
      <c r="V24" s="1" cm="1">
        <f t="array" ref="V24">_xll.BDP($A24, "BETA_ADJ_OVERRIDABLE", "BETA_OVERRIDE_START_DT", _xll.BADDPERIODS(_xll.BTODAY(),"NUMBEROFPERIODS=-1","PER=Y"), "BETA_OVERRIDE_END_DT", _xll.BTODAY(), V$4, "BETA_OVERRIDE_PERIOD=D")</f>
        <v>0.29918650000000002</v>
      </c>
      <c r="W24" s="1" cm="1">
        <f t="array" ref="W24">_xll.BDP($A24, "BETA_ADJ_OVERRIDABLE", "BETA_OVERRIDE_START_DT", _xll.BADDPERIODS(_xll.BTODAY(),"NUMBEROFPERIODS=-1","PER=Y"), "BETA_OVERRIDE_END_DT", _xll.BTODAY(), W$4, "BETA_OVERRIDE_PERIOD=D")</f>
        <v>0.29300989999999999</v>
      </c>
      <c r="X24" s="1" cm="1">
        <f t="array" ref="X24">_xll.BDP($A24, "BETA_ADJ_OVERRIDABLE", "BETA_OVERRIDE_START_DT", _xll.BADDPERIODS(_xll.BTODAY(),"NUMBEROFPERIODS=-1","PER=Y"), "BETA_OVERRIDE_END_DT", _xll.BTODAY(), X$4, "BETA_OVERRIDE_PERIOD=D")</f>
        <v>0.23129659999999999</v>
      </c>
      <c r="Y24" s="1" cm="1">
        <f t="array" ref="Y24">_xll.BDP($A24, "BETA_ADJ_OVERRIDABLE", "BETA_OVERRIDE_START_DT", _xll.BADDPERIODS(_xll.BTODAY(),"NUMBEROFPERIODS=-1","PER=Y"), "BETA_OVERRIDE_END_DT", _xll.BTODAY(), Y$4, "BETA_OVERRIDE_PERIOD=D")</f>
        <v>0.39175670000000001</v>
      </c>
      <c r="Z24" s="1" cm="1">
        <f t="array" ref="Z24">_xll.BDP($A24, "BETA_ADJ_OVERRIDABLE", "BETA_OVERRIDE_START_DT", _xll.BADDPERIODS(_xll.BTODAY(),"NUMBEROFPERIODS=-1","PER=Y"), "BETA_OVERRIDE_END_DT", _xll.BTODAY(), Z$4, "BETA_OVERRIDE_PERIOD=D")</f>
        <v>0.33523360000000002</v>
      </c>
      <c r="AA24" s="1" cm="1">
        <f t="array" ref="AA24">_xll.BDP($A24, "BETA_ADJ_OVERRIDABLE", "BETA_OVERRIDE_START_DT", _xll.BADDPERIODS(_xll.BTODAY(),"NUMBEROFPERIODS=-1","PER=Y"), "BETA_OVERRIDE_END_DT", _xll.BTODAY(), AA$4, "BETA_OVERRIDE_PERIOD=D")</f>
        <v>0.36426740000000002</v>
      </c>
      <c r="AB24" s="1" cm="1">
        <f t="array" ref="AB24">_xll.BDP($A24, "BETA_ADJ_OVERRIDABLE", "BETA_OVERRIDE_START_DT", _xll.BADDPERIODS(_xll.BTODAY(),"NUMBEROFPERIODS=-1","PER=Y"), "BETA_OVERRIDE_END_DT", _xll.BTODAY(), AB$4, "BETA_OVERRIDE_PERIOD=D")</f>
        <v>0.13705809999999999</v>
      </c>
      <c r="AC24" s="1" cm="1">
        <f t="array" ref="AC24">_xll.BDP($A24, "BETA_ADJ_OVERRIDABLE", "BETA_OVERRIDE_START_DT", _xll.BADDPERIODS(_xll.BTODAY(),"NUMBEROFPERIODS=-1","PER=Y"), "BETA_OVERRIDE_END_DT", _xll.BTODAY(), AC$4, "BETA_OVERRIDE_PERIOD=D")</f>
        <v>0.45787820000000001</v>
      </c>
      <c r="AD24" s="1" cm="1">
        <f t="array" ref="AD24">_xll.BDP($A24, "BETA_ADJ_OVERRIDABLE", "BETA_OVERRIDE_START_DT", _xll.BADDPERIODS(_xll.BTODAY(),"NUMBEROFPERIODS=-1","PER=Y"), "BETA_OVERRIDE_END_DT", _xll.BTODAY(), AD$4, "BETA_OVERRIDE_PERIOD=D")</f>
        <v>0.33276440000000002</v>
      </c>
      <c r="AE24" s="1" cm="1">
        <f t="array" ref="AE24">_xll.BDP($A24, "BETA_ADJ_OVERRIDABLE", "BETA_OVERRIDE_START_DT", _xll.BADDPERIODS(_xll.BTODAY(),"NUMBEROFPERIODS=-1","PER=Y"), "BETA_OVERRIDE_END_DT", _xll.BTODAY(), AE$4, "BETA_OVERRIDE_PERIOD=D")</f>
        <v>0.6845118</v>
      </c>
      <c r="AF24" s="1" cm="1">
        <f t="array" ref="AF24">_xll.BDP($A24, "BETA_ADJ_OVERRIDABLE", "BETA_OVERRIDE_START_DT", _xll.BADDPERIODS(_xll.BTODAY(),"NUMBEROFPERIODS=-1","PER=Y"), "BETA_OVERRIDE_END_DT", _xll.BTODAY(), AF$4, "BETA_OVERRIDE_PERIOD=D")</f>
        <v>-0.29353580000000001</v>
      </c>
      <c r="AG24" s="1" cm="1">
        <f t="array" ref="AG24">_xll.BDP($A24, "BETA_ADJ_OVERRIDABLE", "BETA_OVERRIDE_START_DT", _xll.BADDPERIODS(_xll.BTODAY(),"NUMBEROFPERIODS=-1","PER=Y"), "BETA_OVERRIDE_END_DT", _xll.BTODAY(), AG$4, "BETA_OVERRIDE_PERIOD=D")</f>
        <v>0.57025170000000003</v>
      </c>
      <c r="AH24" s="1" cm="1">
        <f t="array" ref="AH24">_xll.BDP($A24, "BETA_ADJ_OVERRIDABLE", "BETA_OVERRIDE_START_DT", _xll.BADDPERIODS(_xll.BTODAY(),"NUMBEROFPERIODS=-1","PER=Y"), "BETA_OVERRIDE_END_DT", _xll.BTODAY(), AH$4, "BETA_OVERRIDE_PERIOD=D")</f>
        <v>0.4591982</v>
      </c>
      <c r="AI24" s="1" cm="1">
        <f t="array" ref="AI24">_xll.BDP($A24, "BETA_ADJ_OVERRIDABLE", "BETA_OVERRIDE_START_DT", _xll.BADDPERIODS(_xll.BTODAY(),"NUMBEROFPERIODS=-1","PER=Y"), "BETA_OVERRIDE_END_DT", _xll.BTODAY(), AI$4, "BETA_OVERRIDE_PERIOD=D")</f>
        <v>0.41088419999999998</v>
      </c>
      <c r="AJ24" s="1" cm="1">
        <f t="array" ref="AJ24">_xll.BDP($A24, "BETA_ADJ_OVERRIDABLE", "BETA_OVERRIDE_START_DT", _xll.BADDPERIODS(_xll.BTODAY(),"NUMBEROFPERIODS=-1","PER=Y"), "BETA_OVERRIDE_END_DT", _xll.BTODAY(), AJ$4, "BETA_OVERRIDE_PERIOD=D")</f>
        <v>0.42272599999999999</v>
      </c>
      <c r="AK24" s="1" cm="1">
        <f t="array" ref="AK24">_xll.BDP($A24, "BETA_ADJ_OVERRIDABLE", "BETA_OVERRIDE_START_DT", _xll.BADDPERIODS(_xll.BTODAY(),"NUMBEROFPERIODS=-1","PER=Y"), "BETA_OVERRIDE_END_DT", _xll.BTODAY(), AK$4, "BETA_OVERRIDE_PERIOD=D")</f>
        <v>0.89784850000000005</v>
      </c>
      <c r="AL24" s="1" cm="1">
        <f t="array" ref="AL24">_xll.BDP($A24, "BETA_ADJ_OVERRIDABLE", "BETA_OVERRIDE_START_DT", _xll.BADDPERIODS(_xll.BTODAY(),"NUMBEROFPERIODS=-1","PER=Y"), "BETA_OVERRIDE_END_DT", _xll.BTODAY(), AL$4, "BETA_OVERRIDE_PERIOD=D")</f>
        <v>1.0592029999999999</v>
      </c>
      <c r="AM24" s="1" cm="1">
        <f t="array" ref="AM24">_xll.BDP($A24, "BETA_ADJ_OVERRIDABLE", "BETA_OVERRIDE_START_DT", _xll.BADDPERIODS(_xll.BTODAY(),"NUMBEROFPERIODS=-1","PER=Y"), "BETA_OVERRIDE_END_DT", _xll.BTODAY(), AM$4, "BETA_OVERRIDE_PERIOD=D")</f>
        <v>0.91391500000000003</v>
      </c>
    </row>
    <row r="25" spans="1:39" x14ac:dyDescent="0.25">
      <c r="A25" t="s">
        <v>61</v>
      </c>
      <c r="B25" s="1" cm="1">
        <f t="array" ref="B25">_xll.BDP($A25, "BETA_ADJ_OVERRIDABLE", "BETA_OVERRIDE_START_DT", _xll.BADDPERIODS(_xll.BTODAY(),"NUMBEROFPERIODS=-5","PER=Y"), "BETA_OVERRIDE_END_DT", _xll.BTODAY(), B$4, "BETA_OVERRIDE_PERIOD=M")</f>
        <v>1.1197760000000001</v>
      </c>
      <c r="C25" s="1" cm="1">
        <f t="array" ref="C25">_xll.BDP($A25, "BETA_ADJ_OVERRIDABLE", "BETA_OVERRIDE_START_DT", _xll.BADDPERIODS(_xll.BTODAY(),"NUMBEROFPERIODS=-3","PER=Y"), "BETA_OVERRIDE_END_DT", _xll.BTODAY(), C$4, "BETA_OVERRIDE_PERIOD=W")</f>
        <v>1.142339</v>
      </c>
      <c r="D25" s="1" cm="1">
        <f t="array" ref="D25">_xll.BDP($A25, "BETA_ADJ_OVERRIDABLE", "BETA_OVERRIDE_START_DT", _xll.BADDPERIODS(_xll.BTODAY(),"NUMBEROFPERIODS=-1","PER=Y"), "BETA_OVERRIDE_END_DT", _xll.BTODAY(), D$4, "BETA_OVERRIDE_PERIOD=D")</f>
        <v>1.3135159999999999</v>
      </c>
      <c r="E25" s="1" cm="1">
        <f t="array" ref="E25">_xll.BDP($A25, "BETA_ADJ_OVERRIDABLE", "BETA_OVERRIDE_START_DT", _xll.BADDPERIODS(_xll.BTODAY(),"NUMBEROFPERIODS=-1","PER=Y"), "BETA_OVERRIDE_END_DT", _xll.BTODAY(), E$4, "BETA_OVERRIDE_PERIOD=D")</f>
        <v>1.1508119999999999</v>
      </c>
      <c r="F25" s="1" cm="1">
        <f t="array" ref="F25">_xll.BDP($A25, "BETA_ADJ_OVERRIDABLE", "BETA_OVERRIDE_START_DT", _xll.BADDPERIODS(_xll.BTODAY(),"NUMBEROFPERIODS=-1","PER=Y"), "BETA_OVERRIDE_END_DT", _xll.BTODAY(), F$4, "BETA_OVERRIDE_PERIOD=D")</f>
        <v>1.065461</v>
      </c>
      <c r="G25" s="1" cm="1">
        <f t="array" ref="G25">_xll.BDP($A25, "BETA_ADJ_OVERRIDABLE", "BETA_OVERRIDE_START_DT", _xll.BADDPERIODS(_xll.BTODAY(),"NUMBEROFPERIODS=-1","PER=Y"), "BETA_OVERRIDE_END_DT", _xll.BTODAY(), G$4, "BETA_OVERRIDE_PERIOD=D")</f>
        <v>1.1351979999999999</v>
      </c>
      <c r="H25" s="1" cm="1">
        <f t="array" ref="H25">_xll.BDP($A25, "BETA_ADJ_OVERRIDABLE", "BETA_OVERRIDE_START_DT", _xll.BADDPERIODS(_xll.BTODAY(),"NUMBEROFPERIODS=-1","PER=Y"), "BETA_OVERRIDE_END_DT", _xll.BTODAY(), H$4, "BETA_OVERRIDE_PERIOD=D")</f>
        <v>1.2734000000000001</v>
      </c>
      <c r="I25" s="1" cm="1">
        <f t="array" ref="I25">_xll.BDP($A25, "BETA_ADJ_OVERRIDABLE", "BETA_OVERRIDE_START_DT", _xll.BADDPERIODS(_xll.BTODAY(),"NUMBEROFPERIODS=-1","PER=Y"), "BETA_OVERRIDE_END_DT", _xll.BTODAY(), I$4, "BETA_OVERRIDE_PERIOD=D")</f>
        <v>1.1373180000000001</v>
      </c>
      <c r="J25" s="1" cm="1">
        <f t="array" ref="J25">_xll.BDP($A25, "BETA_ADJ_OVERRIDABLE", "BETA_OVERRIDE_START_DT", _xll.BADDPERIODS(_xll.BTODAY(),"NUMBEROFPERIODS=-1","PER=Y"), "BETA_OVERRIDE_END_DT", _xll.BTODAY(), J$4, "BETA_OVERRIDE_PERIOD=D")</f>
        <v>0.44389459999999997</v>
      </c>
      <c r="K25" s="1" cm="1">
        <f t="array" ref="K25">_xll.BDP($A25, "BETA_ADJ_OVERRIDABLE", "BETA_OVERRIDE_START_DT", _xll.BADDPERIODS(_xll.BTODAY(),"NUMBEROFPERIODS=-1","PER=Y"), "BETA_OVERRIDE_END_DT", _xll.BTODAY(), K$4, "BETA_OVERRIDE_PERIOD=D")</f>
        <v>0.4804909</v>
      </c>
      <c r="L25" s="1" cm="1">
        <f t="array" ref="L25">_xll.BDP($A25, "BETA_ADJ_OVERRIDABLE", "BETA_OVERRIDE_START_DT", _xll.BADDPERIODS(_xll.BTODAY(),"NUMBEROFPERIODS=-1","PER=Y"), "BETA_OVERRIDE_END_DT", _xll.BTODAY(), L$4, "BETA_OVERRIDE_PERIOD=D")</f>
        <v>1.5079640000000001</v>
      </c>
      <c r="M25" s="1" cm="1">
        <f t="array" ref="M25">_xll.BDP($A25, "BETA_ADJ_OVERRIDABLE", "BETA_OVERRIDE_START_DT", _xll.BADDPERIODS(_xll.BTODAY(),"NUMBEROFPERIODS=-1","PER=Y"), "BETA_OVERRIDE_END_DT", _xll.BTODAY(), M$4, "BETA_OVERRIDE_PERIOD=D")</f>
        <v>0.66668740000000004</v>
      </c>
      <c r="N25" s="1" cm="1">
        <f t="array" ref="N25">_xll.BDP($A25, "BETA_ADJ_OVERRIDABLE", "BETA_OVERRIDE_START_DT", _xll.BADDPERIODS(_xll.BTODAY(),"NUMBEROFPERIODS=-1","PER=Y"), "BETA_OVERRIDE_END_DT", _xll.BTODAY(), N$4, "BETA_OVERRIDE_PERIOD=D")</f>
        <v>0.46209879999999998</v>
      </c>
      <c r="O25" s="1" cm="1">
        <f t="array" ref="O25">_xll.BDP($A25, "BETA_ADJ_OVERRIDABLE", "BETA_OVERRIDE_START_DT", _xll.BADDPERIODS(_xll.BTODAY(),"NUMBEROFPERIODS=-1","PER=Y"), "BETA_OVERRIDE_END_DT", _xll.BTODAY(), O$4, "BETA_OVERRIDE_PERIOD=D")</f>
        <v>-0.39626729999999999</v>
      </c>
      <c r="P25" s="1" cm="1">
        <f t="array" ref="P25">_xll.BDP($A25, "BETA_ADJ_OVERRIDABLE", "BETA_OVERRIDE_START_DT", _xll.BADDPERIODS(_xll.BTODAY(),"NUMBEROFPERIODS=-1","PER=Y"), "BETA_OVERRIDE_END_DT", _xll.BTODAY(), P$4, "BETA_OVERRIDE_PERIOD=D")</f>
        <v>0.55265089999999994</v>
      </c>
      <c r="Q25" s="1" cm="1">
        <f t="array" ref="Q25">_xll.BDP($A25, "BETA_ADJ_OVERRIDABLE", "BETA_OVERRIDE_START_DT", _xll.BADDPERIODS(_xll.BTODAY(),"NUMBEROFPERIODS=-1","PER=Y"), "BETA_OVERRIDE_END_DT", _xll.BTODAY(), Q$4, "BETA_OVERRIDE_PERIOD=D")</f>
        <v>4.1896890000000004</v>
      </c>
      <c r="R25" s="1" cm="1">
        <f t="array" ref="R25">_xll.BDP($A25, "BETA_ADJ_OVERRIDABLE", "BETA_OVERRIDE_START_DT", _xll.BADDPERIODS(_xll.BTODAY(),"NUMBEROFPERIODS=-1","PER=Y"), "BETA_OVERRIDE_END_DT", _xll.BTODAY(), R$4, "BETA_OVERRIDE_PERIOD=D")</f>
        <v>-0.26552900000000002</v>
      </c>
      <c r="S25" s="1" cm="1">
        <f t="array" ref="S25">_xll.BDP($A25, "BETA_ADJ_OVERRIDABLE", "BETA_OVERRIDE_START_DT", _xll.BADDPERIODS(_xll.BTODAY(),"NUMBEROFPERIODS=-1","PER=Y"), "BETA_OVERRIDE_END_DT", _xll.BTODAY(), S$4, "BETA_OVERRIDE_PERIOD=D")</f>
        <v>1.0662879999999999</v>
      </c>
      <c r="T25" s="1" cm="1">
        <f t="array" ref="T25">_xll.BDP($A25, "BETA_ADJ_OVERRIDABLE", "BETA_OVERRIDE_START_DT", _xll.BADDPERIODS(_xll.BTODAY(),"NUMBEROFPERIODS=-1","PER=Y"), "BETA_OVERRIDE_END_DT", _xll.BTODAY(), T$4, "BETA_OVERRIDE_PERIOD=D")</f>
        <v>0.1579718</v>
      </c>
      <c r="U25" s="1" cm="1">
        <f t="array" ref="U25">_xll.BDP($A25, "BETA_ADJ_OVERRIDABLE", "BETA_OVERRIDE_START_DT", _xll.BADDPERIODS(_xll.BTODAY(),"NUMBEROFPERIODS=-1","PER=Y"), "BETA_OVERRIDE_END_DT", _xll.BTODAY(), U$4, "BETA_OVERRIDE_PERIOD=D")</f>
        <v>0.46209879999999998</v>
      </c>
      <c r="V25" s="1" cm="1">
        <f t="array" ref="V25">_xll.BDP($A25, "BETA_ADJ_OVERRIDABLE", "BETA_OVERRIDE_START_DT", _xll.BADDPERIODS(_xll.BTODAY(),"NUMBEROFPERIODS=-1","PER=Y"), "BETA_OVERRIDE_END_DT", _xll.BTODAY(), V$4, "BETA_OVERRIDE_PERIOD=D")</f>
        <v>0.47416930000000002</v>
      </c>
      <c r="W25" s="1" cm="1">
        <f t="array" ref="W25">_xll.BDP($A25, "BETA_ADJ_OVERRIDABLE", "BETA_OVERRIDE_START_DT", _xll.BADDPERIODS(_xll.BTODAY(),"NUMBEROFPERIODS=-1","PER=Y"), "BETA_OVERRIDE_END_DT", _xll.BTODAY(), W$4, "BETA_OVERRIDE_PERIOD=D")</f>
        <v>0.47918840000000001</v>
      </c>
      <c r="X25" s="1" cm="1">
        <f t="array" ref="X25">_xll.BDP($A25, "BETA_ADJ_OVERRIDABLE", "BETA_OVERRIDE_START_DT", _xll.BADDPERIODS(_xll.BTODAY(),"NUMBEROFPERIODS=-1","PER=Y"), "BETA_OVERRIDE_END_DT", _xll.BTODAY(), X$4, "BETA_OVERRIDE_PERIOD=D")</f>
        <v>0.36570130000000001</v>
      </c>
      <c r="Y25" s="1" cm="1">
        <f t="array" ref="Y25">_xll.BDP($A25, "BETA_ADJ_OVERRIDABLE", "BETA_OVERRIDE_START_DT", _xll.BADDPERIODS(_xll.BTODAY(),"NUMBEROFPERIODS=-1","PER=Y"), "BETA_OVERRIDE_END_DT", _xll.BTODAY(), Y$4, "BETA_OVERRIDE_PERIOD=D")</f>
        <v>0.39818389999999998</v>
      </c>
      <c r="Z25" s="1" cm="1">
        <f t="array" ref="Z25">_xll.BDP($A25, "BETA_ADJ_OVERRIDABLE", "BETA_OVERRIDE_START_DT", _xll.BADDPERIODS(_xll.BTODAY(),"NUMBEROFPERIODS=-1","PER=Y"), "BETA_OVERRIDE_END_DT", _xll.BTODAY(), Z$4, "BETA_OVERRIDE_PERIOD=D")</f>
        <v>0.74852200000000002</v>
      </c>
      <c r="AA25" s="1" cm="1">
        <f t="array" ref="AA25">_xll.BDP($A25, "BETA_ADJ_OVERRIDABLE", "BETA_OVERRIDE_START_DT", _xll.BADDPERIODS(_xll.BTODAY(),"NUMBEROFPERIODS=-1","PER=Y"), "BETA_OVERRIDE_END_DT", _xll.BTODAY(), AA$4, "BETA_OVERRIDE_PERIOD=D")</f>
        <v>0.60397610000000002</v>
      </c>
      <c r="AB25" s="1" cm="1">
        <f t="array" ref="AB25">_xll.BDP($A25, "BETA_ADJ_OVERRIDABLE", "BETA_OVERRIDE_START_DT", _xll.BADDPERIODS(_xll.BTODAY(),"NUMBEROFPERIODS=-1","PER=Y"), "BETA_OVERRIDE_END_DT", _xll.BTODAY(), AB$4, "BETA_OVERRIDE_PERIOD=D")</f>
        <v>0.71990089999999995</v>
      </c>
      <c r="AC25" s="1" cm="1">
        <f t="array" ref="AC25">_xll.BDP($A25, "BETA_ADJ_OVERRIDABLE", "BETA_OVERRIDE_START_DT", _xll.BADDPERIODS(_xll.BTODAY(),"NUMBEROFPERIODS=-1","PER=Y"), "BETA_OVERRIDE_END_DT", _xll.BTODAY(), AC$4, "BETA_OVERRIDE_PERIOD=D")</f>
        <v>-0.1002868</v>
      </c>
      <c r="AD25" s="1" cm="1">
        <f t="array" ref="AD25">_xll.BDP($A25, "BETA_ADJ_OVERRIDABLE", "BETA_OVERRIDE_START_DT", _xll.BADDPERIODS(_xll.BTODAY(),"NUMBEROFPERIODS=-1","PER=Y"), "BETA_OVERRIDE_END_DT", _xll.BTODAY(), AD$4, "BETA_OVERRIDE_PERIOD=D")</f>
        <v>0.99259699999999995</v>
      </c>
      <c r="AE25" s="1" cm="1">
        <f t="array" ref="AE25">_xll.BDP($A25, "BETA_ADJ_OVERRIDABLE", "BETA_OVERRIDE_START_DT", _xll.BADDPERIODS(_xll.BTODAY(),"NUMBEROFPERIODS=-1","PER=Y"), "BETA_OVERRIDE_END_DT", _xll.BTODAY(), AE$4, "BETA_OVERRIDE_PERIOD=D")</f>
        <v>0.33148549999999999</v>
      </c>
      <c r="AF25" s="1" cm="1">
        <f t="array" ref="AF25">_xll.BDP($A25, "BETA_ADJ_OVERRIDABLE", "BETA_OVERRIDE_START_DT", _xll.BADDPERIODS(_xll.BTODAY(),"NUMBEROFPERIODS=-1","PER=Y"), "BETA_OVERRIDE_END_DT", _xll.BTODAY(), AF$4, "BETA_OVERRIDE_PERIOD=D")</f>
        <v>-0.1625434</v>
      </c>
      <c r="AG25" s="1" cm="1">
        <f t="array" ref="AG25">_xll.BDP($A25, "BETA_ADJ_OVERRIDABLE", "BETA_OVERRIDE_START_DT", _xll.BADDPERIODS(_xll.BTODAY(),"NUMBEROFPERIODS=-1","PER=Y"), "BETA_OVERRIDE_END_DT", _xll.BTODAY(), AG$4, "BETA_OVERRIDE_PERIOD=D")</f>
        <v>0.33298620000000001</v>
      </c>
      <c r="AH25" s="1" cm="1">
        <f t="array" ref="AH25">_xll.BDP($A25, "BETA_ADJ_OVERRIDABLE", "BETA_OVERRIDE_START_DT", _xll.BADDPERIODS(_xll.BTODAY(),"NUMBEROFPERIODS=-1","PER=Y"), "BETA_OVERRIDE_END_DT", _xll.BTODAY(), AH$4, "BETA_OVERRIDE_PERIOD=D")</f>
        <v>0.53634400000000004</v>
      </c>
      <c r="AI25" s="1" cm="1">
        <f t="array" ref="AI25">_xll.BDP($A25, "BETA_ADJ_OVERRIDABLE", "BETA_OVERRIDE_START_DT", _xll.BADDPERIODS(_xll.BTODAY(),"NUMBEROFPERIODS=-1","PER=Y"), "BETA_OVERRIDE_END_DT", _xll.BTODAY(), AI$4, "BETA_OVERRIDE_PERIOD=D")</f>
        <v>0.46375100000000002</v>
      </c>
      <c r="AJ25" s="1" cm="1">
        <f t="array" ref="AJ25">_xll.BDP($A25, "BETA_ADJ_OVERRIDABLE", "BETA_OVERRIDE_START_DT", _xll.BADDPERIODS(_xll.BTODAY(),"NUMBEROFPERIODS=-1","PER=Y"), "BETA_OVERRIDE_END_DT", _xll.BTODAY(), AJ$4, "BETA_OVERRIDE_PERIOD=D")</f>
        <v>0.47350009999999998</v>
      </c>
      <c r="AK25" s="1" cm="1">
        <f t="array" ref="AK25">_xll.BDP($A25, "BETA_ADJ_OVERRIDABLE", "BETA_OVERRIDE_START_DT", _xll.BADDPERIODS(_xll.BTODAY(),"NUMBEROFPERIODS=-1","PER=Y"), "BETA_OVERRIDE_END_DT", _xll.BTODAY(), AK$4, "BETA_OVERRIDE_PERIOD=D")</f>
        <v>0.85441710000000004</v>
      </c>
      <c r="AL25" s="1" cm="1">
        <f t="array" ref="AL25">_xll.BDP($A25, "BETA_ADJ_OVERRIDABLE", "BETA_OVERRIDE_START_DT", _xll.BADDPERIODS(_xll.BTODAY(),"NUMBEROFPERIODS=-1","PER=Y"), "BETA_OVERRIDE_END_DT", _xll.BTODAY(), AL$4, "BETA_OVERRIDE_PERIOD=D")</f>
        <v>0.88469580000000003</v>
      </c>
      <c r="AM25" s="1" cm="1">
        <f t="array" ref="AM25">_xll.BDP($A25, "BETA_ADJ_OVERRIDABLE", "BETA_OVERRIDE_START_DT", _xll.BADDPERIODS(_xll.BTODAY(),"NUMBEROFPERIODS=-1","PER=Y"), "BETA_OVERRIDE_END_DT", _xll.BTODAY(), AM$4, "BETA_OVERRIDE_PERIOD=D")</f>
        <v>1.1463859999999999</v>
      </c>
    </row>
    <row r="26" spans="1:39" x14ac:dyDescent="0.25">
      <c r="A26" t="s">
        <v>62</v>
      </c>
      <c r="B26" s="1" cm="1">
        <f t="array" ref="B26">_xll.BDP($A26, "BETA_ADJ_OVERRIDABLE", "BETA_OVERRIDE_START_DT", _xll.BADDPERIODS(_xll.BTODAY(),"NUMBEROFPERIODS=-5","PER=Y"), "BETA_OVERRIDE_END_DT", _xll.BTODAY(), B$4, "BETA_OVERRIDE_PERIOD=M")</f>
        <v>0.99466779999999999</v>
      </c>
      <c r="C26" s="1" cm="1">
        <f t="array" ref="C26">_xll.BDP($A26, "BETA_ADJ_OVERRIDABLE", "BETA_OVERRIDE_START_DT", _xll.BADDPERIODS(_xll.BTODAY(),"NUMBEROFPERIODS=-3","PER=Y"), "BETA_OVERRIDE_END_DT", _xll.BTODAY(), C$4, "BETA_OVERRIDE_PERIOD=W")</f>
        <v>1.0951409999999999</v>
      </c>
      <c r="D26" s="1" cm="1">
        <f t="array" ref="D26">_xll.BDP($A26, "BETA_ADJ_OVERRIDABLE", "BETA_OVERRIDE_START_DT", _xll.BADDPERIODS(_xll.BTODAY(),"NUMBEROFPERIODS=-1","PER=Y"), "BETA_OVERRIDE_END_DT", _xll.BTODAY(), D$4, "BETA_OVERRIDE_PERIOD=D")</f>
        <v>1.114144</v>
      </c>
      <c r="E26" s="1" cm="1">
        <f t="array" ref="E26">_xll.BDP($A26, "BETA_ADJ_OVERRIDABLE", "BETA_OVERRIDE_START_DT", _xll.BADDPERIODS(_xll.BTODAY(),"NUMBEROFPERIODS=-1","PER=Y"), "BETA_OVERRIDE_END_DT", _xll.BTODAY(), E$4, "BETA_OVERRIDE_PERIOD=D")</f>
        <v>1.1635530000000001</v>
      </c>
      <c r="F26" s="1" cm="1">
        <f t="array" ref="F26">_xll.BDP($A26, "BETA_ADJ_OVERRIDABLE", "BETA_OVERRIDE_START_DT", _xll.BADDPERIODS(_xll.BTODAY(),"NUMBEROFPERIODS=-1","PER=Y"), "BETA_OVERRIDE_END_DT", _xll.BTODAY(), F$4, "BETA_OVERRIDE_PERIOD=D")</f>
        <v>1.102498</v>
      </c>
      <c r="G26" s="1" cm="1">
        <f t="array" ref="G26">_xll.BDP($A26, "BETA_ADJ_OVERRIDABLE", "BETA_OVERRIDE_START_DT", _xll.BADDPERIODS(_xll.BTODAY(),"NUMBEROFPERIODS=-1","PER=Y"), "BETA_OVERRIDE_END_DT", _xll.BTODAY(), G$4, "BETA_OVERRIDE_PERIOD=D")</f>
        <v>0.88410330000000004</v>
      </c>
      <c r="H26" s="1" cm="1">
        <f t="array" ref="H26">_xll.BDP($A26, "BETA_ADJ_OVERRIDABLE", "BETA_OVERRIDE_START_DT", _xll.BADDPERIODS(_xll.BTODAY(),"NUMBEROFPERIODS=-1","PER=Y"), "BETA_OVERRIDE_END_DT", _xll.BTODAY(), H$4, "BETA_OVERRIDE_PERIOD=D")</f>
        <v>1.366134</v>
      </c>
      <c r="I26" s="1" cm="1">
        <f t="array" ref="I26">_xll.BDP($A26, "BETA_ADJ_OVERRIDABLE", "BETA_OVERRIDE_START_DT", _xll.BADDPERIODS(_xll.BTODAY(),"NUMBEROFPERIODS=-1","PER=Y"), "BETA_OVERRIDE_END_DT", _xll.BTODAY(), I$4, "BETA_OVERRIDE_PERIOD=D")</f>
        <v>0.87218960000000001</v>
      </c>
      <c r="J26" s="1" cm="1">
        <f t="array" ref="J26">_xll.BDP($A26, "BETA_ADJ_OVERRIDABLE", "BETA_OVERRIDE_START_DT", _xll.BADDPERIODS(_xll.BTODAY(),"NUMBEROFPERIODS=-1","PER=Y"), "BETA_OVERRIDE_END_DT", _xll.BTODAY(), J$4, "BETA_OVERRIDE_PERIOD=D")</f>
        <v>0.35758319999999999</v>
      </c>
      <c r="K26" s="1" cm="1">
        <f t="array" ref="K26">_xll.BDP($A26, "BETA_ADJ_OVERRIDABLE", "BETA_OVERRIDE_START_DT", _xll.BADDPERIODS(_xll.BTODAY(),"NUMBEROFPERIODS=-1","PER=Y"), "BETA_OVERRIDE_END_DT", _xll.BTODAY(), K$4, "BETA_OVERRIDE_PERIOD=D")</f>
        <v>0.37382019999999999</v>
      </c>
      <c r="L26" s="1" cm="1">
        <f t="array" ref="L26">_xll.BDP($A26, "BETA_ADJ_OVERRIDABLE", "BETA_OVERRIDE_START_DT", _xll.BADDPERIODS(_xll.BTODAY(),"NUMBEROFPERIODS=-1","PER=Y"), "BETA_OVERRIDE_END_DT", _xll.BTODAY(), L$4, "BETA_OVERRIDE_PERIOD=D")</f>
        <v>1.2517720000000001</v>
      </c>
      <c r="M26" s="1" cm="1">
        <f t="array" ref="M26">_xll.BDP($A26, "BETA_ADJ_OVERRIDABLE", "BETA_OVERRIDE_START_DT", _xll.BADDPERIODS(_xll.BTODAY(),"NUMBEROFPERIODS=-1","PER=Y"), "BETA_OVERRIDE_END_DT", _xll.BTODAY(), M$4, "BETA_OVERRIDE_PERIOD=D")</f>
        <v>0.57573730000000001</v>
      </c>
      <c r="N26" s="1" cm="1">
        <f t="array" ref="N26">_xll.BDP($A26, "BETA_ADJ_OVERRIDABLE", "BETA_OVERRIDE_START_DT", _xll.BADDPERIODS(_xll.BTODAY(),"NUMBEROFPERIODS=-1","PER=Y"), "BETA_OVERRIDE_END_DT", _xll.BTODAY(), N$4, "BETA_OVERRIDE_PERIOD=D")</f>
        <v>0.42111789999999999</v>
      </c>
      <c r="O26" s="1" cm="1">
        <f t="array" ref="O26">_xll.BDP($A26, "BETA_ADJ_OVERRIDABLE", "BETA_OVERRIDE_START_DT", _xll.BADDPERIODS(_xll.BTODAY(),"NUMBEROFPERIODS=-1","PER=Y"), "BETA_OVERRIDE_END_DT", _xll.BTODAY(), O$4, "BETA_OVERRIDE_PERIOD=D")</f>
        <v>-3.4334160000000002E-2</v>
      </c>
      <c r="P26" s="1" cm="1">
        <f t="array" ref="P26">_xll.BDP($A26, "BETA_ADJ_OVERRIDABLE", "BETA_OVERRIDE_START_DT", _xll.BADDPERIODS(_xll.BTODAY(),"NUMBEROFPERIODS=-1","PER=Y"), "BETA_OVERRIDE_END_DT", _xll.BTODAY(), P$4, "BETA_OVERRIDE_PERIOD=D")</f>
        <v>0.76034029999999997</v>
      </c>
      <c r="Q26" s="1" cm="1">
        <f t="array" ref="Q26">_xll.BDP($A26, "BETA_ADJ_OVERRIDABLE", "BETA_OVERRIDE_START_DT", _xll.BADDPERIODS(_xll.BTODAY(),"NUMBEROFPERIODS=-1","PER=Y"), "BETA_OVERRIDE_END_DT", _xll.BTODAY(), Q$4, "BETA_OVERRIDE_PERIOD=D")</f>
        <v>3.8199269999999999</v>
      </c>
      <c r="R26" s="1" cm="1">
        <f t="array" ref="R26">_xll.BDP($A26, "BETA_ADJ_OVERRIDABLE", "BETA_OVERRIDE_START_DT", _xll.BADDPERIODS(_xll.BTODAY(),"NUMBEROFPERIODS=-1","PER=Y"), "BETA_OVERRIDE_END_DT", _xll.BTODAY(), R$4, "BETA_OVERRIDE_PERIOD=D")</f>
        <v>-0.39672049999999998</v>
      </c>
      <c r="S26" s="1" cm="1">
        <f t="array" ref="S26">_xll.BDP($A26, "BETA_ADJ_OVERRIDABLE", "BETA_OVERRIDE_START_DT", _xll.BADDPERIODS(_xll.BTODAY(),"NUMBEROFPERIODS=-1","PER=Y"), "BETA_OVERRIDE_END_DT", _xll.BTODAY(), S$4, "BETA_OVERRIDE_PERIOD=D")</f>
        <v>0.84924770000000005</v>
      </c>
      <c r="T26" s="1" cm="1">
        <f t="array" ref="T26">_xll.BDP($A26, "BETA_ADJ_OVERRIDABLE", "BETA_OVERRIDE_START_DT", _xll.BADDPERIODS(_xll.BTODAY(),"NUMBEROFPERIODS=-1","PER=Y"), "BETA_OVERRIDE_END_DT", _xll.BTODAY(), T$4, "BETA_OVERRIDE_PERIOD=D")</f>
        <v>0.76261069999999997</v>
      </c>
      <c r="U26" s="1" cm="1">
        <f t="array" ref="U26">_xll.BDP($A26, "BETA_ADJ_OVERRIDABLE", "BETA_OVERRIDE_START_DT", _xll.BADDPERIODS(_xll.BTODAY(),"NUMBEROFPERIODS=-1","PER=Y"), "BETA_OVERRIDE_END_DT", _xll.BTODAY(), U$4, "BETA_OVERRIDE_PERIOD=D")</f>
        <v>0.42111789999999999</v>
      </c>
      <c r="V26" s="1" cm="1">
        <f t="array" ref="V26">_xll.BDP($A26, "BETA_ADJ_OVERRIDABLE", "BETA_OVERRIDE_START_DT", _xll.BADDPERIODS(_xll.BTODAY(),"NUMBEROFPERIODS=-1","PER=Y"), "BETA_OVERRIDE_END_DT", _xll.BTODAY(), V$4, "BETA_OVERRIDE_PERIOD=D")</f>
        <v>0.40800439999999999</v>
      </c>
      <c r="W26" s="1" cm="1">
        <f t="array" ref="W26">_xll.BDP($A26, "BETA_ADJ_OVERRIDABLE", "BETA_OVERRIDE_START_DT", _xll.BADDPERIODS(_xll.BTODAY(),"NUMBEROFPERIODS=-1","PER=Y"), "BETA_OVERRIDE_END_DT", _xll.BTODAY(), W$4, "BETA_OVERRIDE_PERIOD=D")</f>
        <v>0.41248849999999998</v>
      </c>
      <c r="X26" s="1" cm="1">
        <f t="array" ref="X26">_xll.BDP($A26, "BETA_ADJ_OVERRIDABLE", "BETA_OVERRIDE_START_DT", _xll.BADDPERIODS(_xll.BTODAY(),"NUMBEROFPERIODS=-1","PER=Y"), "BETA_OVERRIDE_END_DT", _xll.BTODAY(), X$4, "BETA_OVERRIDE_PERIOD=D")</f>
        <v>0.1676724</v>
      </c>
      <c r="Y26" s="1" cm="1">
        <f t="array" ref="Y26">_xll.BDP($A26, "BETA_ADJ_OVERRIDABLE", "BETA_OVERRIDE_START_DT", _xll.BADDPERIODS(_xll.BTODAY(),"NUMBEROFPERIODS=-1","PER=Y"), "BETA_OVERRIDE_END_DT", _xll.BTODAY(), Y$4, "BETA_OVERRIDE_PERIOD=D")</f>
        <v>0.35388009999999998</v>
      </c>
      <c r="Z26" s="1" cm="1">
        <f t="array" ref="Z26">_xll.BDP($A26, "BETA_ADJ_OVERRIDABLE", "BETA_OVERRIDE_START_DT", _xll.BADDPERIODS(_xll.BTODAY(),"NUMBEROFPERIODS=-1","PER=Y"), "BETA_OVERRIDE_END_DT", _xll.BTODAY(), Z$4, "BETA_OVERRIDE_PERIOD=D")</f>
        <v>0.46424359999999998</v>
      </c>
      <c r="AA26" s="1" cm="1">
        <f t="array" ref="AA26">_xll.BDP($A26, "BETA_ADJ_OVERRIDABLE", "BETA_OVERRIDE_START_DT", _xll.BADDPERIODS(_xll.BTODAY(),"NUMBEROFPERIODS=-1","PER=Y"), "BETA_OVERRIDE_END_DT", _xll.BTODAY(), AA$4, "BETA_OVERRIDE_PERIOD=D")</f>
        <v>0.4863287</v>
      </c>
      <c r="AB26" s="1" cm="1">
        <f t="array" ref="AB26">_xll.BDP($A26, "BETA_ADJ_OVERRIDABLE", "BETA_OVERRIDE_START_DT", _xll.BADDPERIODS(_xll.BTODAY(),"NUMBEROFPERIODS=-1","PER=Y"), "BETA_OVERRIDE_END_DT", _xll.BTODAY(), AB$4, "BETA_OVERRIDE_PERIOD=D")</f>
        <v>0.92743390000000003</v>
      </c>
      <c r="AC26" s="1" cm="1">
        <f t="array" ref="AC26">_xll.BDP($A26, "BETA_ADJ_OVERRIDABLE", "BETA_OVERRIDE_START_DT", _xll.BADDPERIODS(_xll.BTODAY(),"NUMBEROFPERIODS=-1","PER=Y"), "BETA_OVERRIDE_END_DT", _xll.BTODAY(), AC$4, "BETA_OVERRIDE_PERIOD=D")</f>
        <v>-0.25262299999999999</v>
      </c>
      <c r="AD26" s="1" cm="1">
        <f t="array" ref="AD26">_xll.BDP($A26, "BETA_ADJ_OVERRIDABLE", "BETA_OVERRIDE_START_DT", _xll.BADDPERIODS(_xll.BTODAY(),"NUMBEROFPERIODS=-1","PER=Y"), "BETA_OVERRIDE_END_DT", _xll.BTODAY(), AD$4, "BETA_OVERRIDE_PERIOD=D")</f>
        <v>0.97492109999999998</v>
      </c>
      <c r="AE26" s="1" cm="1">
        <f t="array" ref="AE26">_xll.BDP($A26, "BETA_ADJ_OVERRIDABLE", "BETA_OVERRIDE_START_DT", _xll.BADDPERIODS(_xll.BTODAY(),"NUMBEROFPERIODS=-1","PER=Y"), "BETA_OVERRIDE_END_DT", _xll.BTODAY(), AE$4, "BETA_OVERRIDE_PERIOD=D")</f>
        <v>0.17533560000000001</v>
      </c>
      <c r="AF26" s="1" cm="1">
        <f t="array" ref="AF26">_xll.BDP($A26, "BETA_ADJ_OVERRIDABLE", "BETA_OVERRIDE_START_DT", _xll.BADDPERIODS(_xll.BTODAY(),"NUMBEROFPERIODS=-1","PER=Y"), "BETA_OVERRIDE_END_DT", _xll.BTODAY(), AF$4, "BETA_OVERRIDE_PERIOD=D")</f>
        <v>1.457932</v>
      </c>
      <c r="AG26" s="1" cm="1">
        <f t="array" ref="AG26">_xll.BDP($A26, "BETA_ADJ_OVERRIDABLE", "BETA_OVERRIDE_START_DT", _xll.BADDPERIODS(_xll.BTODAY(),"NUMBEROFPERIODS=-1","PER=Y"), "BETA_OVERRIDE_END_DT", _xll.BTODAY(), AG$4, "BETA_OVERRIDE_PERIOD=D")</f>
        <v>0.31142059999999999</v>
      </c>
      <c r="AH26" s="1" cm="1">
        <f t="array" ref="AH26">_xll.BDP($A26, "BETA_ADJ_OVERRIDABLE", "BETA_OVERRIDE_START_DT", _xll.BADDPERIODS(_xll.BTODAY(),"NUMBEROFPERIODS=-1","PER=Y"), "BETA_OVERRIDE_END_DT", _xll.BTODAY(), AH$4, "BETA_OVERRIDE_PERIOD=D")</f>
        <v>0.57003389999999998</v>
      </c>
      <c r="AI26" s="1" cm="1">
        <f t="array" ref="AI26">_xll.BDP($A26, "BETA_ADJ_OVERRIDABLE", "BETA_OVERRIDE_START_DT", _xll.BADDPERIODS(_xll.BTODAY(),"NUMBEROFPERIODS=-1","PER=Y"), "BETA_OVERRIDE_END_DT", _xll.BTODAY(), AI$4, "BETA_OVERRIDE_PERIOD=D")</f>
        <v>0.46993669999999998</v>
      </c>
      <c r="AJ26" s="1" cm="1">
        <f t="array" ref="AJ26">_xll.BDP($A26, "BETA_ADJ_OVERRIDABLE", "BETA_OVERRIDE_START_DT", _xll.BADDPERIODS(_xll.BTODAY(),"NUMBEROFPERIODS=-1","PER=Y"), "BETA_OVERRIDE_END_DT", _xll.BTODAY(), AJ$4, "BETA_OVERRIDE_PERIOD=D")</f>
        <v>0.49969239999999998</v>
      </c>
      <c r="AK26" s="1" cm="1">
        <f t="array" ref="AK26">_xll.BDP($A26, "BETA_ADJ_OVERRIDABLE", "BETA_OVERRIDE_START_DT", _xll.BADDPERIODS(_xll.BTODAY(),"NUMBEROFPERIODS=-1","PER=Y"), "BETA_OVERRIDE_END_DT", _xll.BTODAY(), AK$4, "BETA_OVERRIDE_PERIOD=D")</f>
        <v>0.95533389999999996</v>
      </c>
      <c r="AL26" s="1" cm="1">
        <f t="array" ref="AL26">_xll.BDP($A26, "BETA_ADJ_OVERRIDABLE", "BETA_OVERRIDE_START_DT", _xll.BADDPERIODS(_xll.BTODAY(),"NUMBEROFPERIODS=-1","PER=Y"), "BETA_OVERRIDE_END_DT", _xll.BTODAY(), AL$4, "BETA_OVERRIDE_PERIOD=D")</f>
        <v>0.99026420000000004</v>
      </c>
      <c r="AM26" s="1" cm="1">
        <f t="array" ref="AM26">_xll.BDP($A26, "BETA_ADJ_OVERRIDABLE", "BETA_OVERRIDE_START_DT", _xll.BADDPERIODS(_xll.BTODAY(),"NUMBEROFPERIODS=-1","PER=Y"), "BETA_OVERRIDE_END_DT", _xll.BTODAY(), AM$4, "BETA_OVERRIDE_PERIOD=D")</f>
        <v>1.2284619999999999</v>
      </c>
    </row>
    <row r="27" spans="1:39" x14ac:dyDescent="0.25">
      <c r="A27" t="s">
        <v>63</v>
      </c>
      <c r="B27" s="1" cm="1">
        <f t="array" ref="B27">_xll.BDP($A27, "BETA_ADJ_OVERRIDABLE", "BETA_OVERRIDE_START_DT", _xll.BADDPERIODS(_xll.BTODAY(),"NUMBEROFPERIODS=-5","PER=Y"), "BETA_OVERRIDE_END_DT", _xll.BTODAY(), B$4, "BETA_OVERRIDE_PERIOD=M")</f>
        <v>0.90813940000000004</v>
      </c>
      <c r="C27" s="1" cm="1">
        <f t="array" ref="C27">_xll.BDP($A27, "BETA_ADJ_OVERRIDABLE", "BETA_OVERRIDE_START_DT", _xll.BADDPERIODS(_xll.BTODAY(),"NUMBEROFPERIODS=-3","PER=Y"), "BETA_OVERRIDE_END_DT", _xll.BTODAY(), C$4, "BETA_OVERRIDE_PERIOD=W")</f>
        <v>0.67839210000000005</v>
      </c>
      <c r="D27" s="1" cm="1">
        <f t="array" ref="D27">_xll.BDP($A27, "BETA_ADJ_OVERRIDABLE", "BETA_OVERRIDE_START_DT", _xll.BADDPERIODS(_xll.BTODAY(),"NUMBEROFPERIODS=-1","PER=Y"), "BETA_OVERRIDE_END_DT", _xll.BTODAY(), D$4, "BETA_OVERRIDE_PERIOD=D")</f>
        <v>0.29605500000000001</v>
      </c>
      <c r="E27" s="1" cm="1">
        <f t="array" ref="E27">_xll.BDP($A27, "BETA_ADJ_OVERRIDABLE", "BETA_OVERRIDE_START_DT", _xll.BADDPERIODS(_xll.BTODAY(),"NUMBEROFPERIODS=-1","PER=Y"), "BETA_OVERRIDE_END_DT", _xll.BTODAY(), E$4, "BETA_OVERRIDE_PERIOD=D")</f>
        <v>0.32239479999999998</v>
      </c>
      <c r="F27" s="1" cm="1">
        <f t="array" ref="F27">_xll.BDP($A27, "BETA_ADJ_OVERRIDABLE", "BETA_OVERRIDE_START_DT", _xll.BADDPERIODS(_xll.BTODAY(),"NUMBEROFPERIODS=-1","PER=Y"), "BETA_OVERRIDE_END_DT", _xll.BTODAY(), F$4, "BETA_OVERRIDE_PERIOD=D")</f>
        <v>0.32899260000000002</v>
      </c>
      <c r="G27" s="1" cm="1">
        <f t="array" ref="G27">_xll.BDP($A27, "BETA_ADJ_OVERRIDABLE", "BETA_OVERRIDE_START_DT", _xll.BADDPERIODS(_xll.BTODAY(),"NUMBEROFPERIODS=-1","PER=Y"), "BETA_OVERRIDE_END_DT", _xll.BTODAY(), G$4, "BETA_OVERRIDE_PERIOD=D")</f>
        <v>0.3060291</v>
      </c>
      <c r="H27" s="1" cm="1">
        <f t="array" ref="H27">_xll.BDP($A27, "BETA_ADJ_OVERRIDABLE", "BETA_OVERRIDE_START_DT", _xll.BADDPERIODS(_xll.BTODAY(),"NUMBEROFPERIODS=-1","PER=Y"), "BETA_OVERRIDE_END_DT", _xll.BTODAY(), H$4, "BETA_OVERRIDE_PERIOD=D")</f>
        <v>0.30340549999999999</v>
      </c>
      <c r="I27" s="1" cm="1">
        <f t="array" ref="I27">_xll.BDP($A27, "BETA_ADJ_OVERRIDABLE", "BETA_OVERRIDE_START_DT", _xll.BADDPERIODS(_xll.BTODAY(),"NUMBEROFPERIODS=-1","PER=Y"), "BETA_OVERRIDE_END_DT", _xll.BTODAY(), I$4, "BETA_OVERRIDE_PERIOD=D")</f>
        <v>0.30160940000000003</v>
      </c>
      <c r="J27" s="1" cm="1">
        <f t="array" ref="J27">_xll.BDP($A27, "BETA_ADJ_OVERRIDABLE", "BETA_OVERRIDE_START_DT", _xll.BADDPERIODS(_xll.BTODAY(),"NUMBEROFPERIODS=-1","PER=Y"), "BETA_OVERRIDE_END_DT", _xll.BTODAY(), J$4, "BETA_OVERRIDE_PERIOD=D")</f>
        <v>1.0770010000000001</v>
      </c>
      <c r="K27" s="1" cm="1">
        <f t="array" ref="K27">_xll.BDP($A27, "BETA_ADJ_OVERRIDABLE", "BETA_OVERRIDE_START_DT", _xll.BADDPERIODS(_xll.BTODAY(),"NUMBEROFPERIODS=-1","PER=Y"), "BETA_OVERRIDE_END_DT", _xll.BTODAY(), K$4, "BETA_OVERRIDE_PERIOD=D")</f>
        <v>1.199603</v>
      </c>
      <c r="L27" s="1" cm="1">
        <f t="array" ref="L27">_xll.BDP($A27, "BETA_ADJ_OVERRIDABLE", "BETA_OVERRIDE_START_DT", _xll.BADDPERIODS(_xll.BTODAY(),"NUMBEROFPERIODS=-1","PER=Y"), "BETA_OVERRIDE_END_DT", _xll.BTODAY(), L$4, "BETA_OVERRIDE_PERIOD=D")</f>
        <v>0.5235031</v>
      </c>
      <c r="M27" s="1" cm="1">
        <f t="array" ref="M27">_xll.BDP($A27, "BETA_ADJ_OVERRIDABLE", "BETA_OVERRIDE_START_DT", _xll.BADDPERIODS(_xll.BTODAY(),"NUMBEROFPERIODS=-1","PER=Y"), "BETA_OVERRIDE_END_DT", _xll.BTODAY(), M$4, "BETA_OVERRIDE_PERIOD=D")</f>
        <v>0.2509342</v>
      </c>
      <c r="N27" s="1" cm="1">
        <f t="array" ref="N27">_xll.BDP($A27, "BETA_ADJ_OVERRIDABLE", "BETA_OVERRIDE_START_DT", _xll.BADDPERIODS(_xll.BTODAY(),"NUMBEROFPERIODS=-1","PER=Y"), "BETA_OVERRIDE_END_DT", _xll.BTODAY(), N$4, "BETA_OVERRIDE_PERIOD=D")</f>
        <v>0.2036241</v>
      </c>
      <c r="O27" s="1" cm="1">
        <f t="array" ref="O27">_xll.BDP($A27, "BETA_ADJ_OVERRIDABLE", "BETA_OVERRIDE_START_DT", _xll.BADDPERIODS(_xll.BTODAY(),"NUMBEROFPERIODS=-1","PER=Y"), "BETA_OVERRIDE_END_DT", _xll.BTODAY(), O$4, "BETA_OVERRIDE_PERIOD=D")</f>
        <v>0.89925239999999995</v>
      </c>
      <c r="P27" s="1" cm="1">
        <f t="array" ref="P27">_xll.BDP($A27, "BETA_ADJ_OVERRIDABLE", "BETA_OVERRIDE_START_DT", _xll.BADDPERIODS(_xll.BTODAY(),"NUMBEROFPERIODS=-1","PER=Y"), "BETA_OVERRIDE_END_DT", _xll.BTODAY(), P$4, "BETA_OVERRIDE_PERIOD=D")</f>
        <v>1.1210709999999999</v>
      </c>
      <c r="Q27" s="1" cm="1">
        <f t="array" ref="Q27">_xll.BDP($A27, "BETA_ADJ_OVERRIDABLE", "BETA_OVERRIDE_START_DT", _xll.BADDPERIODS(_xll.BTODAY(),"NUMBEROFPERIODS=-1","PER=Y"), "BETA_OVERRIDE_END_DT", _xll.BTODAY(), Q$4, "BETA_OVERRIDE_PERIOD=D")</f>
        <v>2.35629</v>
      </c>
      <c r="R27" s="1" cm="1">
        <f t="array" ref="R27">_xll.BDP($A27, "BETA_ADJ_OVERRIDABLE", "BETA_OVERRIDE_START_DT", _xll.BADDPERIODS(_xll.BTODAY(),"NUMBEROFPERIODS=-1","PER=Y"), "BETA_OVERRIDE_END_DT", _xll.BTODAY(), R$4, "BETA_OVERRIDE_PERIOD=D")</f>
        <v>1.3162560000000001</v>
      </c>
      <c r="S27" s="1" cm="1">
        <f t="array" ref="S27">_xll.BDP($A27, "BETA_ADJ_OVERRIDABLE", "BETA_OVERRIDE_START_DT", _xll.BADDPERIODS(_xll.BTODAY(),"NUMBEROFPERIODS=-1","PER=Y"), "BETA_OVERRIDE_END_DT", _xll.BTODAY(), S$4, "BETA_OVERRIDE_PERIOD=D")</f>
        <v>2.0832299999999999</v>
      </c>
      <c r="T27" s="1" cm="1">
        <f t="array" ref="T27">_xll.BDP($A27, "BETA_ADJ_OVERRIDABLE", "BETA_OVERRIDE_START_DT", _xll.BADDPERIODS(_xll.BTODAY(),"NUMBEROFPERIODS=-1","PER=Y"), "BETA_OVERRIDE_END_DT", _xll.BTODAY(), T$4, "BETA_OVERRIDE_PERIOD=D")</f>
        <v>0.91064710000000004</v>
      </c>
      <c r="U27" s="1" cm="1">
        <f t="array" ref="U27">_xll.BDP($A27, "BETA_ADJ_OVERRIDABLE", "BETA_OVERRIDE_START_DT", _xll.BADDPERIODS(_xll.BTODAY(),"NUMBEROFPERIODS=-1","PER=Y"), "BETA_OVERRIDE_END_DT", _xll.BTODAY(), U$4, "BETA_OVERRIDE_PERIOD=D")</f>
        <v>0.2036241</v>
      </c>
      <c r="V27" s="1" cm="1">
        <f t="array" ref="V27">_xll.BDP($A27, "BETA_ADJ_OVERRIDABLE", "BETA_OVERRIDE_START_DT", _xll.BADDPERIODS(_xll.BTODAY(),"NUMBEROFPERIODS=-1","PER=Y"), "BETA_OVERRIDE_END_DT", _xll.BTODAY(), V$4, "BETA_OVERRIDE_PERIOD=D")</f>
        <v>0.26477529999999999</v>
      </c>
      <c r="W27" s="1" cm="1">
        <f t="array" ref="W27">_xll.BDP($A27, "BETA_ADJ_OVERRIDABLE", "BETA_OVERRIDE_START_DT", _xll.BADDPERIODS(_xll.BTODAY(),"NUMBEROFPERIODS=-1","PER=Y"), "BETA_OVERRIDE_END_DT", _xll.BTODAY(), W$4, "BETA_OVERRIDE_PERIOD=D")</f>
        <v>0.26368269999999999</v>
      </c>
      <c r="X27" s="1" cm="1">
        <f t="array" ref="X27">_xll.BDP($A27, "BETA_ADJ_OVERRIDABLE", "BETA_OVERRIDE_START_DT", _xll.BADDPERIODS(_xll.BTODAY(),"NUMBEROFPERIODS=-1","PER=Y"), "BETA_OVERRIDE_END_DT", _xll.BTODAY(), X$4, "BETA_OVERRIDE_PERIOD=D")</f>
        <v>0.38039849999999997</v>
      </c>
      <c r="Y27" s="1" cm="1">
        <f t="array" ref="Y27">_xll.BDP($A27, "BETA_ADJ_OVERRIDABLE", "BETA_OVERRIDE_START_DT", _xll.BADDPERIODS(_xll.BTODAY(),"NUMBEROFPERIODS=-1","PER=Y"), "BETA_OVERRIDE_END_DT", _xll.BTODAY(), Y$4, "BETA_OVERRIDE_PERIOD=D")</f>
        <v>0.39537719999999998</v>
      </c>
      <c r="Z27" s="1" cm="1">
        <f t="array" ref="Z27">_xll.BDP($A27, "BETA_ADJ_OVERRIDABLE", "BETA_OVERRIDE_START_DT", _xll.BADDPERIODS(_xll.BTODAY(),"NUMBEROFPERIODS=-1","PER=Y"), "BETA_OVERRIDE_END_DT", _xll.BTODAY(), Z$4, "BETA_OVERRIDE_PERIOD=D")</f>
        <v>0.38491310000000001</v>
      </c>
      <c r="AA27" s="1" cm="1">
        <f t="array" ref="AA27">_xll.BDP($A27, "BETA_ADJ_OVERRIDABLE", "BETA_OVERRIDE_START_DT", _xll.BADDPERIODS(_xll.BTODAY(),"NUMBEROFPERIODS=-1","PER=Y"), "BETA_OVERRIDE_END_DT", _xll.BTODAY(), AA$4, "BETA_OVERRIDE_PERIOD=D")</f>
        <v>0.48228539999999998</v>
      </c>
      <c r="AB27" s="1" cm="1">
        <f t="array" ref="AB27">_xll.BDP($A27, "BETA_ADJ_OVERRIDABLE", "BETA_OVERRIDE_START_DT", _xll.BADDPERIODS(_xll.BTODAY(),"NUMBEROFPERIODS=-1","PER=Y"), "BETA_OVERRIDE_END_DT", _xll.BTODAY(), AB$4, "BETA_OVERRIDE_PERIOD=D")</f>
        <v>-0.1765843</v>
      </c>
      <c r="AC27" s="1" cm="1">
        <f t="array" ref="AC27">_xll.BDP($A27, "BETA_ADJ_OVERRIDABLE", "BETA_OVERRIDE_START_DT", _xll.BADDPERIODS(_xll.BTODAY(),"NUMBEROFPERIODS=-1","PER=Y"), "BETA_OVERRIDE_END_DT", _xll.BTODAY(), AC$4, "BETA_OVERRIDE_PERIOD=D")</f>
        <v>0.66221240000000003</v>
      </c>
      <c r="AD27" s="1" cm="1">
        <f t="array" ref="AD27">_xll.BDP($A27, "BETA_ADJ_OVERRIDABLE", "BETA_OVERRIDE_START_DT", _xll.BADDPERIODS(_xll.BTODAY(),"NUMBEROFPERIODS=-1","PER=Y"), "BETA_OVERRIDE_END_DT", _xll.BTODAY(), AD$4, "BETA_OVERRIDE_PERIOD=D")</f>
        <v>-7.4191350000000003E-4</v>
      </c>
      <c r="AE27" s="1" cm="1">
        <f t="array" ref="AE27">_xll.BDP($A27, "BETA_ADJ_OVERRIDABLE", "BETA_OVERRIDE_START_DT", _xll.BADDPERIODS(_xll.BTODAY(),"NUMBEROFPERIODS=-1","PER=Y"), "BETA_OVERRIDE_END_DT", _xll.BTODAY(), AE$4, "BETA_OVERRIDE_PERIOD=D")</f>
        <v>0.95368430000000004</v>
      </c>
      <c r="AF27" s="1" cm="1">
        <f t="array" ref="AF27">_xll.BDP($A27, "BETA_ADJ_OVERRIDABLE", "BETA_OVERRIDE_START_DT", _xll.BADDPERIODS(_xll.BTODAY(),"NUMBEROFPERIODS=-1","PER=Y"), "BETA_OVERRIDE_END_DT", _xll.BTODAY(), AF$4, "BETA_OVERRIDE_PERIOD=D")</f>
        <v>-0.30083959999999998</v>
      </c>
      <c r="AG27" s="1" cm="1">
        <f t="array" ref="AG27">_xll.BDP($A27, "BETA_ADJ_OVERRIDABLE", "BETA_OVERRIDE_START_DT", _xll.BADDPERIODS(_xll.BTODAY(),"NUMBEROFPERIODS=-1","PER=Y"), "BETA_OVERRIDE_END_DT", _xll.BTODAY(), AG$4, "BETA_OVERRIDE_PERIOD=D")</f>
        <v>1.750807</v>
      </c>
      <c r="AH27" s="1" cm="1">
        <f t="array" ref="AH27">_xll.BDP($A27, "BETA_ADJ_OVERRIDABLE", "BETA_OVERRIDE_START_DT", _xll.BADDPERIODS(_xll.BTODAY(),"NUMBEROFPERIODS=-1","PER=Y"), "BETA_OVERRIDE_END_DT", _xll.BTODAY(), AH$4, "BETA_OVERRIDE_PERIOD=D")</f>
        <v>0.34246080000000001</v>
      </c>
      <c r="AI27" s="1" cm="1">
        <f t="array" ref="AI27">_xll.BDP($A27, "BETA_ADJ_OVERRIDABLE", "BETA_OVERRIDE_START_DT", _xll.BADDPERIODS(_xll.BTODAY(),"NUMBEROFPERIODS=-1","PER=Y"), "BETA_OVERRIDE_END_DT", _xll.BTODAY(), AI$4, "BETA_OVERRIDE_PERIOD=D")</f>
        <v>0.35137390000000002</v>
      </c>
      <c r="AJ27" s="1" cm="1">
        <f t="array" ref="AJ27">_xll.BDP($A27, "BETA_ADJ_OVERRIDABLE", "BETA_OVERRIDE_START_DT", _xll.BADDPERIODS(_xll.BTODAY(),"NUMBEROFPERIODS=-1","PER=Y"), "BETA_OVERRIDE_END_DT", _xll.BTODAY(), AJ$4, "BETA_OVERRIDE_PERIOD=D")</f>
        <v>0.38988440000000002</v>
      </c>
      <c r="AK27" s="1" cm="1">
        <f t="array" ref="AK27">_xll.BDP($A27, "BETA_ADJ_OVERRIDABLE", "BETA_OVERRIDE_START_DT", _xll.BADDPERIODS(_xll.BTODAY(),"NUMBEROFPERIODS=-1","PER=Y"), "BETA_OVERRIDE_END_DT", _xll.BTODAY(), AK$4, "BETA_OVERRIDE_PERIOD=D")</f>
        <v>0.42260930000000002</v>
      </c>
      <c r="AL27" s="1" cm="1">
        <f t="array" ref="AL27">_xll.BDP($A27, "BETA_ADJ_OVERRIDABLE", "BETA_OVERRIDE_START_DT", _xll.BADDPERIODS(_xll.BTODAY(),"NUMBEROFPERIODS=-1","PER=Y"), "BETA_OVERRIDE_END_DT", _xll.BTODAY(), AL$4, "BETA_OVERRIDE_PERIOD=D")</f>
        <v>0.72658820000000002</v>
      </c>
      <c r="AM27" s="1" cm="1">
        <f t="array" ref="AM27">_xll.BDP($A27, "BETA_ADJ_OVERRIDABLE", "BETA_OVERRIDE_START_DT", _xll.BADDPERIODS(_xll.BTODAY(),"NUMBEROFPERIODS=-1","PER=Y"), "BETA_OVERRIDE_END_DT", _xll.BTODAY(), AM$4, "BETA_OVERRIDE_PERIOD=D")</f>
        <v>0.37782529999999998</v>
      </c>
    </row>
    <row r="28" spans="1:39" x14ac:dyDescent="0.25">
      <c r="A28" t="s">
        <v>64</v>
      </c>
      <c r="B28" s="1" cm="1">
        <f t="array" ref="B28">_xll.BDP($A28, "BETA_ADJ_OVERRIDABLE", "BETA_OVERRIDE_START_DT", _xll.BADDPERIODS(_xll.BTODAY(),"NUMBEROFPERIODS=-5","PER=Y"), "BETA_OVERRIDE_END_DT", _xll.BTODAY(), B$4, "BETA_OVERRIDE_PERIOD=M")</f>
        <v>1.100222</v>
      </c>
      <c r="C28" s="1" cm="1">
        <f t="array" ref="C28">_xll.BDP($A28, "BETA_ADJ_OVERRIDABLE", "BETA_OVERRIDE_START_DT", _xll.BADDPERIODS(_xll.BTODAY(),"NUMBEROFPERIODS=-3","PER=Y"), "BETA_OVERRIDE_END_DT", _xll.BTODAY(), C$4, "BETA_OVERRIDE_PERIOD=W")</f>
        <v>1.046524</v>
      </c>
      <c r="D28" s="1" cm="1">
        <f t="array" ref="D28">_xll.BDP($A28, "BETA_ADJ_OVERRIDABLE", "BETA_OVERRIDE_START_DT", _xll.BADDPERIODS(_xll.BTODAY(),"NUMBEROFPERIODS=-1","PER=Y"), "BETA_OVERRIDE_END_DT", _xll.BTODAY(), D$4, "BETA_OVERRIDE_PERIOD=D")</f>
        <v>1.055161</v>
      </c>
      <c r="E28" s="1" cm="1">
        <f t="array" ref="E28">_xll.BDP($A28, "BETA_ADJ_OVERRIDABLE", "BETA_OVERRIDE_START_DT", _xll.BADDPERIODS(_xll.BTODAY(),"NUMBEROFPERIODS=-1","PER=Y"), "BETA_OVERRIDE_END_DT", _xll.BTODAY(), E$4, "BETA_OVERRIDE_PERIOD=D")</f>
        <v>1.054236</v>
      </c>
      <c r="F28" s="1" cm="1">
        <f t="array" ref="F28">_xll.BDP($A28, "BETA_ADJ_OVERRIDABLE", "BETA_OVERRIDE_START_DT", _xll.BADDPERIODS(_xll.BTODAY(),"NUMBEROFPERIODS=-1","PER=Y"), "BETA_OVERRIDE_END_DT", _xll.BTODAY(), F$4, "BETA_OVERRIDE_PERIOD=D")</f>
        <v>0.98396220000000001</v>
      </c>
      <c r="G28" s="1" cm="1">
        <f t="array" ref="G28">_xll.BDP($A28, "BETA_ADJ_OVERRIDABLE", "BETA_OVERRIDE_START_DT", _xll.BADDPERIODS(_xll.BTODAY(),"NUMBEROFPERIODS=-1","PER=Y"), "BETA_OVERRIDE_END_DT", _xll.BTODAY(), G$4, "BETA_OVERRIDE_PERIOD=D")</f>
        <v>0.8395958</v>
      </c>
      <c r="H28" s="1" cm="1">
        <f t="array" ref="H28">_xll.BDP($A28, "BETA_ADJ_OVERRIDABLE", "BETA_OVERRIDE_START_DT", _xll.BADDPERIODS(_xll.BTODAY(),"NUMBEROFPERIODS=-1","PER=Y"), "BETA_OVERRIDE_END_DT", _xll.BTODAY(), H$4, "BETA_OVERRIDE_PERIOD=D")</f>
        <v>1.2761420000000001</v>
      </c>
      <c r="I28" s="1" cm="1">
        <f t="array" ref="I28">_xll.BDP($A28, "BETA_ADJ_OVERRIDABLE", "BETA_OVERRIDE_START_DT", _xll.BADDPERIODS(_xll.BTODAY(),"NUMBEROFPERIODS=-1","PER=Y"), "BETA_OVERRIDE_END_DT", _xll.BTODAY(), I$4, "BETA_OVERRIDE_PERIOD=D")</f>
        <v>0.83263770000000004</v>
      </c>
      <c r="J28" s="1" cm="1">
        <f t="array" ref="J28">_xll.BDP($A28, "BETA_ADJ_OVERRIDABLE", "BETA_OVERRIDE_START_DT", _xll.BADDPERIODS(_xll.BTODAY(),"NUMBEROFPERIODS=-1","PER=Y"), "BETA_OVERRIDE_END_DT", _xll.BTODAY(), J$4, "BETA_OVERRIDE_PERIOD=D")</f>
        <v>0.42228949999999998</v>
      </c>
      <c r="K28" s="1" cm="1">
        <f t="array" ref="K28">_xll.BDP($A28, "BETA_ADJ_OVERRIDABLE", "BETA_OVERRIDE_START_DT", _xll.BADDPERIODS(_xll.BTODAY(),"NUMBEROFPERIODS=-1","PER=Y"), "BETA_OVERRIDE_END_DT", _xll.BTODAY(), K$4, "BETA_OVERRIDE_PERIOD=D")</f>
        <v>0.41105599999999998</v>
      </c>
      <c r="L28" s="1" cm="1">
        <f t="array" ref="L28">_xll.BDP($A28, "BETA_ADJ_OVERRIDABLE", "BETA_OVERRIDE_START_DT", _xll.BADDPERIODS(_xll.BTODAY(),"NUMBEROFPERIODS=-1","PER=Y"), "BETA_OVERRIDE_END_DT", _xll.BTODAY(), L$4, "BETA_OVERRIDE_PERIOD=D")</f>
        <v>1.204385</v>
      </c>
      <c r="M28" s="1" cm="1">
        <f t="array" ref="M28">_xll.BDP($A28, "BETA_ADJ_OVERRIDABLE", "BETA_OVERRIDE_START_DT", _xll.BADDPERIODS(_xll.BTODAY(),"NUMBEROFPERIODS=-1","PER=Y"), "BETA_OVERRIDE_END_DT", _xll.BTODAY(), M$4, "BETA_OVERRIDE_PERIOD=D")</f>
        <v>0.52565019999999996</v>
      </c>
      <c r="N28" s="1" cm="1">
        <f t="array" ref="N28">_xll.BDP($A28, "BETA_ADJ_OVERRIDABLE", "BETA_OVERRIDE_START_DT", _xll.BADDPERIODS(_xll.BTODAY(),"NUMBEROFPERIODS=-1","PER=Y"), "BETA_OVERRIDE_END_DT", _xll.BTODAY(), N$4, "BETA_OVERRIDE_PERIOD=D")</f>
        <v>0.35761039999999999</v>
      </c>
      <c r="O28" s="1" cm="1">
        <f t="array" ref="O28">_xll.BDP($A28, "BETA_ADJ_OVERRIDABLE", "BETA_OVERRIDE_START_DT", _xll.BADDPERIODS(_xll.BTODAY(),"NUMBEROFPERIODS=-1","PER=Y"), "BETA_OVERRIDE_END_DT", _xll.BTODAY(), O$4, "BETA_OVERRIDE_PERIOD=D")</f>
        <v>0.2329939</v>
      </c>
      <c r="P28" s="1" cm="1">
        <f t="array" ref="P28">_xll.BDP($A28, "BETA_ADJ_OVERRIDABLE", "BETA_OVERRIDE_START_DT", _xll.BADDPERIODS(_xll.BTODAY(),"NUMBEROFPERIODS=-1","PER=Y"), "BETA_OVERRIDE_END_DT", _xll.BTODAY(), P$4, "BETA_OVERRIDE_PERIOD=D")</f>
        <v>0.90954570000000001</v>
      </c>
      <c r="Q28" s="1" cm="1">
        <f t="array" ref="Q28">_xll.BDP($A28, "BETA_ADJ_OVERRIDABLE", "BETA_OVERRIDE_START_DT", _xll.BADDPERIODS(_xll.BTODAY(),"NUMBEROFPERIODS=-1","PER=Y"), "BETA_OVERRIDE_END_DT", _xll.BTODAY(), Q$4, "BETA_OVERRIDE_PERIOD=D")</f>
        <v>3.5998009999999998</v>
      </c>
      <c r="R28" s="1" cm="1">
        <f t="array" ref="R28">_xll.BDP($A28, "BETA_ADJ_OVERRIDABLE", "BETA_OVERRIDE_START_DT", _xll.BADDPERIODS(_xll.BTODAY(),"NUMBEROFPERIODS=-1","PER=Y"), "BETA_OVERRIDE_END_DT", _xll.BTODAY(), R$4, "BETA_OVERRIDE_PERIOD=D")</f>
        <v>-5.3604159999999998E-2</v>
      </c>
      <c r="S28" s="1" cm="1">
        <f t="array" ref="S28">_xll.BDP($A28, "BETA_ADJ_OVERRIDABLE", "BETA_OVERRIDE_START_DT", _xll.BADDPERIODS(_xll.BTODAY(),"NUMBEROFPERIODS=-1","PER=Y"), "BETA_OVERRIDE_END_DT", _xll.BTODAY(), S$4, "BETA_OVERRIDE_PERIOD=D")</f>
        <v>0.95634479999999999</v>
      </c>
      <c r="T28" s="1" cm="1">
        <f t="array" ref="T28">_xll.BDP($A28, "BETA_ADJ_OVERRIDABLE", "BETA_OVERRIDE_START_DT", _xll.BADDPERIODS(_xll.BTODAY(),"NUMBEROFPERIODS=-1","PER=Y"), "BETA_OVERRIDE_END_DT", _xll.BTODAY(), T$4, "BETA_OVERRIDE_PERIOD=D")</f>
        <v>0.8945554</v>
      </c>
      <c r="U28" s="1" cm="1">
        <f t="array" ref="U28">_xll.BDP($A28, "BETA_ADJ_OVERRIDABLE", "BETA_OVERRIDE_START_DT", _xll.BADDPERIODS(_xll.BTODAY(),"NUMBEROFPERIODS=-1","PER=Y"), "BETA_OVERRIDE_END_DT", _xll.BTODAY(), U$4, "BETA_OVERRIDE_PERIOD=D")</f>
        <v>0.35761039999999999</v>
      </c>
      <c r="V28" s="1" cm="1">
        <f t="array" ref="V28">_xll.BDP($A28, "BETA_ADJ_OVERRIDABLE", "BETA_OVERRIDE_START_DT", _xll.BADDPERIODS(_xll.BTODAY(),"NUMBEROFPERIODS=-1","PER=Y"), "BETA_OVERRIDE_END_DT", _xll.BTODAY(), V$4, "BETA_OVERRIDE_PERIOD=D")</f>
        <v>0.41063499999999997</v>
      </c>
      <c r="W28" s="1" cm="1">
        <f t="array" ref="W28">_xll.BDP($A28, "BETA_ADJ_OVERRIDABLE", "BETA_OVERRIDE_START_DT", _xll.BADDPERIODS(_xll.BTODAY(),"NUMBEROFPERIODS=-1","PER=Y"), "BETA_OVERRIDE_END_DT", _xll.BTODAY(), W$4, "BETA_OVERRIDE_PERIOD=D")</f>
        <v>0.41786459999999997</v>
      </c>
      <c r="X28" s="1" cm="1">
        <f t="array" ref="X28">_xll.BDP($A28, "BETA_ADJ_OVERRIDABLE", "BETA_OVERRIDE_START_DT", _xll.BADDPERIODS(_xll.BTODAY(),"NUMBEROFPERIODS=-1","PER=Y"), "BETA_OVERRIDE_END_DT", _xll.BTODAY(), X$4, "BETA_OVERRIDE_PERIOD=D")</f>
        <v>0.23325170000000001</v>
      </c>
      <c r="Y28" s="1" cm="1">
        <f t="array" ref="Y28">_xll.BDP($A28, "BETA_ADJ_OVERRIDABLE", "BETA_OVERRIDE_START_DT", _xll.BADDPERIODS(_xll.BTODAY(),"NUMBEROFPERIODS=-1","PER=Y"), "BETA_OVERRIDE_END_DT", _xll.BTODAY(), Y$4, "BETA_OVERRIDE_PERIOD=D")</f>
        <v>0.37040699999999999</v>
      </c>
      <c r="Z28" s="1" cm="1">
        <f t="array" ref="Z28">_xll.BDP($A28, "BETA_ADJ_OVERRIDABLE", "BETA_OVERRIDE_START_DT", _xll.BADDPERIODS(_xll.BTODAY(),"NUMBEROFPERIODS=-1","PER=Y"), "BETA_OVERRIDE_END_DT", _xll.BTODAY(), Z$4, "BETA_OVERRIDE_PERIOD=D")</f>
        <v>0.51886350000000003</v>
      </c>
      <c r="AA28" s="1" cm="1">
        <f t="array" ref="AA28">_xll.BDP($A28, "BETA_ADJ_OVERRIDABLE", "BETA_OVERRIDE_START_DT", _xll.BADDPERIODS(_xll.BTODAY(),"NUMBEROFPERIODS=-1","PER=Y"), "BETA_OVERRIDE_END_DT", _xll.BTODAY(), AA$4, "BETA_OVERRIDE_PERIOD=D")</f>
        <v>0.48686669999999999</v>
      </c>
      <c r="AB28" s="1" cm="1">
        <f t="array" ref="AB28">_xll.BDP($A28, "BETA_ADJ_OVERRIDABLE", "BETA_OVERRIDE_START_DT", _xll.BADDPERIODS(_xll.BTODAY(),"NUMBEROFPERIODS=-1","PER=Y"), "BETA_OVERRIDE_END_DT", _xll.BTODAY(), AB$4, "BETA_OVERRIDE_PERIOD=D")</f>
        <v>0.70853310000000003</v>
      </c>
      <c r="AC28" s="1" cm="1">
        <f t="array" ref="AC28">_xll.BDP($A28, "BETA_ADJ_OVERRIDABLE", "BETA_OVERRIDE_START_DT", _xll.BADDPERIODS(_xll.BTODAY(),"NUMBEROFPERIODS=-1","PER=Y"), "BETA_OVERRIDE_END_DT", _xll.BTODAY(), AC$4, "BETA_OVERRIDE_PERIOD=D")</f>
        <v>-6.1758859999999999E-2</v>
      </c>
      <c r="AD28" s="1" cm="1">
        <f t="array" ref="AD28">_xll.BDP($A28, "BETA_ADJ_OVERRIDABLE", "BETA_OVERRIDE_START_DT", _xll.BADDPERIODS(_xll.BTODAY(),"NUMBEROFPERIODS=-1","PER=Y"), "BETA_OVERRIDE_END_DT", _xll.BTODAY(), AD$4, "BETA_OVERRIDE_PERIOD=D")</f>
        <v>0.79864599999999997</v>
      </c>
      <c r="AE28" s="1" cm="1">
        <f t="array" ref="AE28">_xll.BDP($A28, "BETA_ADJ_OVERRIDABLE", "BETA_OVERRIDE_START_DT", _xll.BADDPERIODS(_xll.BTODAY(),"NUMBEROFPERIODS=-1","PER=Y"), "BETA_OVERRIDE_END_DT", _xll.BTODAY(), AE$4, "BETA_OVERRIDE_PERIOD=D")</f>
        <v>0.33929910000000002</v>
      </c>
      <c r="AF28" s="1" cm="1">
        <f t="array" ref="AF28">_xll.BDP($A28, "BETA_ADJ_OVERRIDABLE", "BETA_OVERRIDE_START_DT", _xll.BADDPERIODS(_xll.BTODAY(),"NUMBEROFPERIODS=-1","PER=Y"), "BETA_OVERRIDE_END_DT", _xll.BTODAY(), AF$4, "BETA_OVERRIDE_PERIOD=D")</f>
        <v>0.99910449999999995</v>
      </c>
      <c r="AG28" s="1" cm="1">
        <f t="array" ref="AG28">_xll.BDP($A28, "BETA_ADJ_OVERRIDABLE", "BETA_OVERRIDE_START_DT", _xll.BADDPERIODS(_xll.BTODAY(),"NUMBEROFPERIODS=-1","PER=Y"), "BETA_OVERRIDE_END_DT", _xll.BTODAY(), AG$4, "BETA_OVERRIDE_PERIOD=D")</f>
        <v>0.31939980000000001</v>
      </c>
      <c r="AH28" s="1" cm="1">
        <f t="array" ref="AH28">_xll.BDP($A28, "BETA_ADJ_OVERRIDABLE", "BETA_OVERRIDE_START_DT", _xll.BADDPERIODS(_xll.BTODAY(),"NUMBEROFPERIODS=-1","PER=Y"), "BETA_OVERRIDE_END_DT", _xll.BTODAY(), AH$4, "BETA_OVERRIDE_PERIOD=D")</f>
        <v>0.51959259999999996</v>
      </c>
      <c r="AI28" s="1" cm="1">
        <f t="array" ref="AI28">_xll.BDP($A28, "BETA_ADJ_OVERRIDABLE", "BETA_OVERRIDE_START_DT", _xll.BADDPERIODS(_xll.BTODAY(),"NUMBEROFPERIODS=-1","PER=Y"), "BETA_OVERRIDE_END_DT", _xll.BTODAY(), AI$4, "BETA_OVERRIDE_PERIOD=D")</f>
        <v>0.44393280000000002</v>
      </c>
      <c r="AJ28" s="1" cm="1">
        <f t="array" ref="AJ28">_xll.BDP($A28, "BETA_ADJ_OVERRIDABLE", "BETA_OVERRIDE_START_DT", _xll.BADDPERIODS(_xll.BTODAY(),"NUMBEROFPERIODS=-1","PER=Y"), "BETA_OVERRIDE_END_DT", _xll.BTODAY(), AJ$4, "BETA_OVERRIDE_PERIOD=D")</f>
        <v>0.46819640000000001</v>
      </c>
      <c r="AK28" s="1" cm="1">
        <f t="array" ref="AK28">_xll.BDP($A28, "BETA_ADJ_OVERRIDABLE", "BETA_OVERRIDE_START_DT", _xll.BADDPERIODS(_xll.BTODAY(),"NUMBEROFPERIODS=-1","PER=Y"), "BETA_OVERRIDE_END_DT", _xll.BTODAY(), AK$4, "BETA_OVERRIDE_PERIOD=D")</f>
        <v>0.93536070000000004</v>
      </c>
      <c r="AL28" s="1" cm="1">
        <f t="array" ref="AL28">_xll.BDP($A28, "BETA_ADJ_OVERRIDABLE", "BETA_OVERRIDE_START_DT", _xll.BADDPERIODS(_xll.BTODAY(),"NUMBEROFPERIODS=-1","PER=Y"), "BETA_OVERRIDE_END_DT", _xll.BTODAY(), AL$4, "BETA_OVERRIDE_PERIOD=D")</f>
        <v>1.005358</v>
      </c>
      <c r="AM28" s="1" cm="1">
        <f t="array" ref="AM28">_xll.BDP($A28, "BETA_ADJ_OVERRIDABLE", "BETA_OVERRIDE_START_DT", _xll.BADDPERIODS(_xll.BTODAY(),"NUMBEROFPERIODS=-1","PER=Y"), "BETA_OVERRIDE_END_DT", _xll.BTODAY(), AM$4, "BETA_OVERRIDE_PERIOD=D")</f>
        <v>1.113569</v>
      </c>
    </row>
    <row r="29" spans="1:39" x14ac:dyDescent="0.25">
      <c r="A29" t="s">
        <v>65</v>
      </c>
      <c r="B29" s="1" cm="1">
        <f t="array" ref="B29">_xll.BDP($A29, "BETA_ADJ_OVERRIDABLE", "BETA_OVERRIDE_START_DT", _xll.BADDPERIODS(_xll.BTODAY(),"NUMBEROFPERIODS=-5","PER=Y"), "BETA_OVERRIDE_END_DT", _xll.BTODAY(), B$4, "BETA_OVERRIDE_PERIOD=M")</f>
        <v>1.224445</v>
      </c>
      <c r="C29" s="1" cm="1">
        <f t="array" ref="C29">_xll.BDP($A29, "BETA_ADJ_OVERRIDABLE", "BETA_OVERRIDE_START_DT", _xll.BADDPERIODS(_xll.BTODAY(),"NUMBEROFPERIODS=-3","PER=Y"), "BETA_OVERRIDE_END_DT", _xll.BTODAY(), C$4, "BETA_OVERRIDE_PERIOD=W")</f>
        <v>0.89871829999999997</v>
      </c>
      <c r="D29" s="1" cm="1">
        <f t="array" ref="D29">_xll.BDP($A29, "BETA_ADJ_OVERRIDABLE", "BETA_OVERRIDE_START_DT", _xll.BADDPERIODS(_xll.BTODAY(),"NUMBEROFPERIODS=-1","PER=Y"), "BETA_OVERRIDE_END_DT", _xll.BTODAY(), D$4, "BETA_OVERRIDE_PERIOD=D")</f>
        <v>0.50938490000000003</v>
      </c>
      <c r="E29" s="1" cm="1">
        <f t="array" ref="E29">_xll.BDP($A29, "BETA_ADJ_OVERRIDABLE", "BETA_OVERRIDE_START_DT", _xll.BADDPERIODS(_xll.BTODAY(),"NUMBEROFPERIODS=-1","PER=Y"), "BETA_OVERRIDE_END_DT", _xll.BTODAY(), E$4, "BETA_OVERRIDE_PERIOD=D")</f>
        <v>0.50933050000000002</v>
      </c>
      <c r="F29" s="1" cm="1">
        <f t="array" ref="F29">_xll.BDP($A29, "BETA_ADJ_OVERRIDABLE", "BETA_OVERRIDE_START_DT", _xll.BADDPERIODS(_xll.BTODAY(),"NUMBEROFPERIODS=-1","PER=Y"), "BETA_OVERRIDE_END_DT", _xll.BTODAY(), F$4, "BETA_OVERRIDE_PERIOD=D")</f>
        <v>0.50049129999999997</v>
      </c>
      <c r="G29" s="1" cm="1">
        <f t="array" ref="G29">_xll.BDP($A29, "BETA_ADJ_OVERRIDABLE", "BETA_OVERRIDE_START_DT", _xll.BADDPERIODS(_xll.BTODAY(),"NUMBEROFPERIODS=-1","PER=Y"), "BETA_OVERRIDE_END_DT", _xll.BTODAY(), G$4, "BETA_OVERRIDE_PERIOD=D")</f>
        <v>0.45249719999999999</v>
      </c>
      <c r="H29" s="1" cm="1">
        <f t="array" ref="H29">_xll.BDP($A29, "BETA_ADJ_OVERRIDABLE", "BETA_OVERRIDE_START_DT", _xll.BADDPERIODS(_xll.BTODAY(),"NUMBEROFPERIODS=-1","PER=Y"), "BETA_OVERRIDE_END_DT", _xll.BTODAY(), H$4, "BETA_OVERRIDE_PERIOD=D")</f>
        <v>0.57086990000000004</v>
      </c>
      <c r="I29" s="1" cm="1">
        <f t="array" ref="I29">_xll.BDP($A29, "BETA_ADJ_OVERRIDABLE", "BETA_OVERRIDE_START_DT", _xll.BADDPERIODS(_xll.BTODAY(),"NUMBEROFPERIODS=-1","PER=Y"), "BETA_OVERRIDE_END_DT", _xll.BTODAY(), I$4, "BETA_OVERRIDE_PERIOD=D")</f>
        <v>0.45351130000000001</v>
      </c>
      <c r="J29" s="1" cm="1">
        <f t="array" ref="J29">_xll.BDP($A29, "BETA_ADJ_OVERRIDABLE", "BETA_OVERRIDE_START_DT", _xll.BADDPERIODS(_xll.BTODAY(),"NUMBEROFPERIODS=-1","PER=Y"), "BETA_OVERRIDE_END_DT", _xll.BTODAY(), J$4, "BETA_OVERRIDE_PERIOD=D")</f>
        <v>0.82795589999999997</v>
      </c>
      <c r="K29" s="1" cm="1">
        <f t="array" ref="K29">_xll.BDP($A29, "BETA_ADJ_OVERRIDABLE", "BETA_OVERRIDE_START_DT", _xll.BADDPERIODS(_xll.BTODAY(),"NUMBEROFPERIODS=-1","PER=Y"), "BETA_OVERRIDE_END_DT", _xll.BTODAY(), K$4, "BETA_OVERRIDE_PERIOD=D")</f>
        <v>0.72839410000000004</v>
      </c>
      <c r="L29" s="1" cm="1">
        <f t="array" ref="L29">_xll.BDP($A29, "BETA_ADJ_OVERRIDABLE", "BETA_OVERRIDE_START_DT", _xll.BADDPERIODS(_xll.BTODAY(),"NUMBEROFPERIODS=-1","PER=Y"), "BETA_OVERRIDE_END_DT", _xll.BTODAY(), L$4, "BETA_OVERRIDE_PERIOD=D")</f>
        <v>0.67614989999999997</v>
      </c>
      <c r="M29" s="1" cm="1">
        <f t="array" ref="M29">_xll.BDP($A29, "BETA_ADJ_OVERRIDABLE", "BETA_OVERRIDE_START_DT", _xll.BADDPERIODS(_xll.BTODAY(),"NUMBEROFPERIODS=-1","PER=Y"), "BETA_OVERRIDE_END_DT", _xll.BTODAY(), M$4, "BETA_OVERRIDE_PERIOD=D")</f>
        <v>0.36161759999999998</v>
      </c>
      <c r="N29" s="1" cm="1">
        <f t="array" ref="N29">_xll.BDP($A29, "BETA_ADJ_OVERRIDABLE", "BETA_OVERRIDE_START_DT", _xll.BADDPERIODS(_xll.BTODAY(),"NUMBEROFPERIODS=-1","PER=Y"), "BETA_OVERRIDE_END_DT", _xll.BTODAY(), N$4, "BETA_OVERRIDE_PERIOD=D")</f>
        <v>0.32288919999999999</v>
      </c>
      <c r="O29" s="1" cm="1">
        <f t="array" ref="O29">_xll.BDP($A29, "BETA_ADJ_OVERRIDABLE", "BETA_OVERRIDE_START_DT", _xll.BADDPERIODS(_xll.BTODAY(),"NUMBEROFPERIODS=-1","PER=Y"), "BETA_OVERRIDE_END_DT", _xll.BTODAY(), O$4, "BETA_OVERRIDE_PERIOD=D")</f>
        <v>0.31739149999999999</v>
      </c>
      <c r="P29" s="1" cm="1">
        <f t="array" ref="P29">_xll.BDP($A29, "BETA_ADJ_OVERRIDABLE", "BETA_OVERRIDE_START_DT", _xll.BADDPERIODS(_xll.BTODAY(),"NUMBEROFPERIODS=-1","PER=Y"), "BETA_OVERRIDE_END_DT", _xll.BTODAY(), P$4, "BETA_OVERRIDE_PERIOD=D")</f>
        <v>0.69426569999999999</v>
      </c>
      <c r="Q29" s="1" cm="1">
        <f t="array" ref="Q29">_xll.BDP($A29, "BETA_ADJ_OVERRIDABLE", "BETA_OVERRIDE_START_DT", _xll.BADDPERIODS(_xll.BTODAY(),"NUMBEROFPERIODS=-1","PER=Y"), "BETA_OVERRIDE_END_DT", _xll.BTODAY(), Q$4, "BETA_OVERRIDE_PERIOD=D")</f>
        <v>2.4816229999999999</v>
      </c>
      <c r="R29" s="1" cm="1">
        <f t="array" ref="R29">_xll.BDP($A29, "BETA_ADJ_OVERRIDABLE", "BETA_OVERRIDE_START_DT", _xll.BADDPERIODS(_xll.BTODAY(),"NUMBEROFPERIODS=-1","PER=Y"), "BETA_OVERRIDE_END_DT", _xll.BTODAY(), R$4, "BETA_OVERRIDE_PERIOD=D")</f>
        <v>0.35330859999999997</v>
      </c>
      <c r="S29" s="1" cm="1">
        <f t="array" ref="S29">_xll.BDP($A29, "BETA_ADJ_OVERRIDABLE", "BETA_OVERRIDE_START_DT", _xll.BADDPERIODS(_xll.BTODAY(),"NUMBEROFPERIODS=-1","PER=Y"), "BETA_OVERRIDE_END_DT", _xll.BTODAY(), S$4, "BETA_OVERRIDE_PERIOD=D")</f>
        <v>1.528354</v>
      </c>
      <c r="T29" s="1" cm="1">
        <f t="array" ref="T29">_xll.BDP($A29, "BETA_ADJ_OVERRIDABLE", "BETA_OVERRIDE_START_DT", _xll.BADDPERIODS(_xll.BTODAY(),"NUMBEROFPERIODS=-1","PER=Y"), "BETA_OVERRIDE_END_DT", _xll.BTODAY(), T$4, "BETA_OVERRIDE_PERIOD=D")</f>
        <v>0.2665901</v>
      </c>
      <c r="U29" s="1" cm="1">
        <f t="array" ref="U29">_xll.BDP($A29, "BETA_ADJ_OVERRIDABLE", "BETA_OVERRIDE_START_DT", _xll.BADDPERIODS(_xll.BTODAY(),"NUMBEROFPERIODS=-1","PER=Y"), "BETA_OVERRIDE_END_DT", _xll.BTODAY(), U$4, "BETA_OVERRIDE_PERIOD=D")</f>
        <v>0.32288919999999999</v>
      </c>
      <c r="V29" s="1" cm="1">
        <f t="array" ref="V29">_xll.BDP($A29, "BETA_ADJ_OVERRIDABLE", "BETA_OVERRIDE_START_DT", _xll.BADDPERIODS(_xll.BTODAY(),"NUMBEROFPERIODS=-1","PER=Y"), "BETA_OVERRIDE_END_DT", _xll.BTODAY(), V$4, "BETA_OVERRIDE_PERIOD=D")</f>
        <v>0.26210040000000001</v>
      </c>
      <c r="W29" s="1" cm="1">
        <f t="array" ref="W29">_xll.BDP($A29, "BETA_ADJ_OVERRIDABLE", "BETA_OVERRIDE_START_DT", _xll.BADDPERIODS(_xll.BTODAY(),"NUMBEROFPERIODS=-1","PER=Y"), "BETA_OVERRIDE_END_DT", _xll.BTODAY(), W$4, "BETA_OVERRIDE_PERIOD=D")</f>
        <v>0.25626900000000002</v>
      </c>
      <c r="X29" s="1" cm="1">
        <f t="array" ref="X29">_xll.BDP($A29, "BETA_ADJ_OVERRIDABLE", "BETA_OVERRIDE_START_DT", _xll.BADDPERIODS(_xll.BTODAY(),"NUMBEROFPERIODS=-1","PER=Y"), "BETA_OVERRIDE_END_DT", _xll.BTODAY(), X$4, "BETA_OVERRIDE_PERIOD=D")</f>
        <v>0.22662060000000001</v>
      </c>
      <c r="Y29" s="1" cm="1">
        <f t="array" ref="Y29">_xll.BDP($A29, "BETA_ADJ_OVERRIDABLE", "BETA_OVERRIDE_START_DT", _xll.BADDPERIODS(_xll.BTODAY(),"NUMBEROFPERIODS=-1","PER=Y"), "BETA_OVERRIDE_END_DT", _xll.BTODAY(), Y$4, "BETA_OVERRIDE_PERIOD=D")</f>
        <v>0.40224349999999998</v>
      </c>
      <c r="Z29" s="1" cm="1">
        <f t="array" ref="Z29">_xll.BDP($A29, "BETA_ADJ_OVERRIDABLE", "BETA_OVERRIDE_START_DT", _xll.BADDPERIODS(_xll.BTODAY(),"NUMBEROFPERIODS=-1","PER=Y"), "BETA_OVERRIDE_END_DT", _xll.BTODAY(), Z$4, "BETA_OVERRIDE_PERIOD=D")</f>
        <v>0.2812712</v>
      </c>
      <c r="AA29" s="1" cm="1">
        <f t="array" ref="AA29">_xll.BDP($A29, "BETA_ADJ_OVERRIDABLE", "BETA_OVERRIDE_START_DT", _xll.BADDPERIODS(_xll.BTODAY(),"NUMBEROFPERIODS=-1","PER=Y"), "BETA_OVERRIDE_END_DT", _xll.BTODAY(), AA$4, "BETA_OVERRIDE_PERIOD=D")</f>
        <v>0.42689240000000001</v>
      </c>
      <c r="AB29" s="1" cm="1">
        <f t="array" ref="AB29">_xll.BDP($A29, "BETA_ADJ_OVERRIDABLE", "BETA_OVERRIDE_START_DT", _xll.BADDPERIODS(_xll.BTODAY(),"NUMBEROFPERIODS=-1","PER=Y"), "BETA_OVERRIDE_END_DT", _xll.BTODAY(), AB$4, "BETA_OVERRIDE_PERIOD=D")</f>
        <v>0.27262950000000002</v>
      </c>
      <c r="AC29" s="1" cm="1">
        <f t="array" ref="AC29">_xll.BDP($A29, "BETA_ADJ_OVERRIDABLE", "BETA_OVERRIDE_START_DT", _xll.BADDPERIODS(_xll.BTODAY(),"NUMBEROFPERIODS=-1","PER=Y"), "BETA_OVERRIDE_END_DT", _xll.BTODAY(), AC$4, "BETA_OVERRIDE_PERIOD=D")</f>
        <v>0.2703258</v>
      </c>
      <c r="AD29" s="1" cm="1">
        <f t="array" ref="AD29">_xll.BDP($A29, "BETA_ADJ_OVERRIDABLE", "BETA_OVERRIDE_START_DT", _xll.BADDPERIODS(_xll.BTODAY(),"NUMBEROFPERIODS=-1","PER=Y"), "BETA_OVERRIDE_END_DT", _xll.BTODAY(), AD$4, "BETA_OVERRIDE_PERIOD=D")</f>
        <v>0.32109399999999999</v>
      </c>
      <c r="AE29" s="1" cm="1">
        <f t="array" ref="AE29">_xll.BDP($A29, "BETA_ADJ_OVERRIDABLE", "BETA_OVERRIDE_START_DT", _xll.BADDPERIODS(_xll.BTODAY(),"NUMBEROFPERIODS=-1","PER=Y"), "BETA_OVERRIDE_END_DT", _xll.BTODAY(), AE$4, "BETA_OVERRIDE_PERIOD=D")</f>
        <v>0.60846350000000005</v>
      </c>
      <c r="AF29" s="1" cm="1">
        <f t="array" ref="AF29">_xll.BDP($A29, "BETA_ADJ_OVERRIDABLE", "BETA_OVERRIDE_START_DT", _xll.BADDPERIODS(_xll.BTODAY(),"NUMBEROFPERIODS=-1","PER=Y"), "BETA_OVERRIDE_END_DT", _xll.BTODAY(), AF$4, "BETA_OVERRIDE_PERIOD=D")</f>
        <v>0.14020630000000001</v>
      </c>
      <c r="AG29" s="1" cm="1">
        <f t="array" ref="AG29">_xll.BDP($A29, "BETA_ADJ_OVERRIDABLE", "BETA_OVERRIDE_START_DT", _xll.BADDPERIODS(_xll.BTODAY(),"NUMBEROFPERIODS=-1","PER=Y"), "BETA_OVERRIDE_END_DT", _xll.BTODAY(), AG$4, "BETA_OVERRIDE_PERIOD=D")</f>
        <v>1.2338610000000001</v>
      </c>
      <c r="AH29" s="1" cm="1">
        <f t="array" ref="AH29">_xll.BDP($A29, "BETA_ADJ_OVERRIDABLE", "BETA_OVERRIDE_START_DT", _xll.BADDPERIODS(_xll.BTODAY(),"NUMBEROFPERIODS=-1","PER=Y"), "BETA_OVERRIDE_END_DT", _xll.BTODAY(), AH$4, "BETA_OVERRIDE_PERIOD=D")</f>
        <v>0.37690960000000001</v>
      </c>
      <c r="AI29" s="1" cm="1">
        <f t="array" ref="AI29">_xll.BDP($A29, "BETA_ADJ_OVERRIDABLE", "BETA_OVERRIDE_START_DT", _xll.BADDPERIODS(_xll.BTODAY(),"NUMBEROFPERIODS=-1","PER=Y"), "BETA_OVERRIDE_END_DT", _xll.BTODAY(), AI$4, "BETA_OVERRIDE_PERIOD=D")</f>
        <v>0.37081449999999999</v>
      </c>
      <c r="AJ29" s="1" cm="1">
        <f t="array" ref="AJ29">_xll.BDP($A29, "BETA_ADJ_OVERRIDABLE", "BETA_OVERRIDE_START_DT", _xll.BADDPERIODS(_xll.BTODAY(),"NUMBEROFPERIODS=-1","PER=Y"), "BETA_OVERRIDE_END_DT", _xll.BTODAY(), AJ$4, "BETA_OVERRIDE_PERIOD=D")</f>
        <v>0.38258160000000002</v>
      </c>
      <c r="AK29" s="1" cm="1">
        <f t="array" ref="AK29">_xll.BDP($A29, "BETA_ADJ_OVERRIDABLE", "BETA_OVERRIDE_START_DT", _xll.BADDPERIODS(_xll.BTODAY(),"NUMBEROFPERIODS=-1","PER=Y"), "BETA_OVERRIDE_END_DT", _xll.BTODAY(), AK$4, "BETA_OVERRIDE_PERIOD=D")</f>
        <v>0.4976719</v>
      </c>
      <c r="AL29" s="1" cm="1">
        <f t="array" ref="AL29">_xll.BDP($A29, "BETA_ADJ_OVERRIDABLE", "BETA_OVERRIDE_START_DT", _xll.BADDPERIODS(_xll.BTODAY(),"NUMBEROFPERIODS=-1","PER=Y"), "BETA_OVERRIDE_END_DT", _xll.BTODAY(), AL$4, "BETA_OVERRIDE_PERIOD=D")</f>
        <v>0.65001160000000002</v>
      </c>
      <c r="AM29" s="1" cm="1">
        <f t="array" ref="AM29">_xll.BDP($A29, "BETA_ADJ_OVERRIDABLE", "BETA_OVERRIDE_START_DT", _xll.BADDPERIODS(_xll.BTODAY(),"NUMBEROFPERIODS=-1","PER=Y"), "BETA_OVERRIDE_END_DT", _xll.BTODAY(), AM$4, "BETA_OVERRIDE_PERIOD=D")</f>
        <v>0.5379564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D06C-6DA9-45F0-B545-61737F9EFC89}">
  <dimension ref="A1:B2"/>
  <sheetViews>
    <sheetView tabSelected="1" workbookViewId="0">
      <selection activeCell="M8" sqref="M8"/>
    </sheetView>
  </sheetViews>
  <sheetFormatPr defaultRowHeight="15" x14ac:dyDescent="0.25"/>
  <cols>
    <col min="2" max="2" width="14.85546875" bestFit="1" customWidth="1"/>
  </cols>
  <sheetData>
    <row r="1" spans="1:2" x14ac:dyDescent="0.25">
      <c r="B1" t="s">
        <v>67</v>
      </c>
    </row>
    <row r="2" spans="1:2" x14ac:dyDescent="0.25">
      <c r="A2" t="s">
        <v>66</v>
      </c>
      <c r="B2" t="str" cm="1">
        <f t="array" ref="B2">_xll.BDP(A2,B1)</f>
        <v>Bloomberg United States Large &amp; Mid Cap Price Return Index is a float market-cap-weighted equity benchmark that covers the top 85% of market cap of the measured market.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divecha</dc:creator>
  <cp:lastModifiedBy>arjun divecha</cp:lastModifiedBy>
  <dcterms:created xsi:type="dcterms:W3CDTF">2025-10-13T19:21:10Z</dcterms:created>
  <dcterms:modified xsi:type="dcterms:W3CDTF">2025-10-14T00:27:56Z</dcterms:modified>
</cp:coreProperties>
</file>